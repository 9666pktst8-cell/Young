
<file path=[Content_Types].xml><?xml version="1.0" encoding="utf-8"?>
<Types xmlns="http://schemas.openxmlformats.org/package/2006/content-types">
  <Default Extension="wmf" ContentType="image/x-w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320" windowHeight="8580"/>
  </bookViews>
  <sheets>
    <sheet name="S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<sst xmlns="http://schemas.openxmlformats.org/spreadsheetml/2006/main" count="240" uniqueCount="158">
  <si>
    <t>SHAOXING BOQIN IMPORT AND EXPORT CO.,LTD</t>
  </si>
  <si>
    <t>PROFOMA  INVOICE</t>
  </si>
  <si>
    <t>SUPPLY FACTORY: SHAOXING BOQIN IMPORT AND EXPORT CO.,LTD</t>
  </si>
  <si>
    <t>DATE:</t>
  </si>
  <si>
    <t>14th March 2026</t>
  </si>
  <si>
    <t>ISSUING BANK: </t>
  </si>
  <si>
    <t>MERCANTILE BANK PLC.
MOHAKHALI BRANCH, 51-52 MOHAKHALI C/A, 
DHAKA-1212, BANGLADESH.
SWIFT : MBLBBDDH012
A/C NO. 011311100008670</t>
  </si>
  <si>
    <t>PI VALIDITY:</t>
  </si>
  <si>
    <t>19th March 2026</t>
  </si>
  <si>
    <t>THE BUYER NAME:CROSSWEAR INDUSTRIES LTD.
HOLDING- ASHU/SHILPA-16, WARD-01, 
KATHGARA, ZIRABO, ASHULIA, 
DHAKA-1341, BANGLADESH.
ERC# 260326210382820
IRC# 260326120133520
VAT/BIN# 000224982-0403</t>
  </si>
  <si>
    <t>PI NO:</t>
  </si>
  <si>
    <t>B3-26002</t>
  </si>
  <si>
    <t>ART NO</t>
  </si>
  <si>
    <t>FABRIC</t>
  </si>
  <si>
    <t>HS CODE</t>
  </si>
  <si>
    <t>COLOR</t>
  </si>
  <si>
    <t>WEIGHT</t>
  </si>
  <si>
    <t xml:space="preserve"> WIDTH WITH INCH</t>
  </si>
  <si>
    <t>BULK QTY</t>
  </si>
  <si>
    <t>UNIT PRICE</t>
  </si>
  <si>
    <t>SURCHARGE</t>
  </si>
  <si>
    <t>TOTAL AMOUNT</t>
  </si>
  <si>
    <t>DELIVERY DATE</t>
  </si>
  <si>
    <t>(GSM)</t>
  </si>
  <si>
    <t>Cuttable</t>
  </si>
  <si>
    <t>Edge to Edge</t>
  </si>
  <si>
    <t>KGS</t>
  </si>
  <si>
    <t>CNF CTG($/KGS)</t>
  </si>
  <si>
    <t>$</t>
  </si>
  <si>
    <r>
      <rPr>
        <b/>
        <sz val="10"/>
        <rFont val="Calibri"/>
        <charset val="134"/>
      </rPr>
      <t>USD</t>
    </r>
    <r>
      <rPr>
        <b/>
        <sz val="10"/>
        <rFont val="宋体"/>
        <charset val="134"/>
      </rPr>
      <t>（</t>
    </r>
    <r>
      <rPr>
        <b/>
        <sz val="10"/>
        <rFont val="Calibri"/>
        <charset val="134"/>
      </rPr>
      <t>±3%</t>
    </r>
    <r>
      <rPr>
        <b/>
        <sz val="10"/>
        <rFont val="宋体"/>
        <charset val="134"/>
      </rPr>
      <t>）</t>
    </r>
  </si>
  <si>
    <t>75-09 &amp; 75-09N, 126/23, 184/17</t>
  </si>
  <si>
    <t xml:space="preserve">BIREDS EYE MESH
100%Polyester
</t>
  </si>
  <si>
    <t>01 WHITE</t>
  </si>
  <si>
    <t>135-140</t>
  </si>
  <si>
    <t>66"</t>
  </si>
  <si>
    <t>68"</t>
  </si>
  <si>
    <t>30-35DAYS AFTER GETING LC AND LAB-DIP APPROVAL</t>
  </si>
  <si>
    <t>06 BLACK</t>
  </si>
  <si>
    <t>08 RED</t>
  </si>
  <si>
    <t>17 ROYAL</t>
  </si>
  <si>
    <t>26 TURQUESA</t>
  </si>
  <si>
    <t>39 VERDE</t>
  </si>
  <si>
    <t>60 VERDE FLUOR</t>
  </si>
  <si>
    <t>62 AMARILLO FLUOR</t>
  </si>
  <si>
    <t>65 GRIS NEW</t>
  </si>
  <si>
    <t>67 FUCSIA NEW</t>
  </si>
  <si>
    <t>14 LIGHT ORANGE</t>
  </si>
  <si>
    <t>14 NARANJA</t>
  </si>
  <si>
    <t>182/17 &amp; 182/17N</t>
  </si>
  <si>
    <t xml:space="preserve">KNIT FABRIC  100% POLIYESTER LINE MESH </t>
  </si>
  <si>
    <t>34 MARENGO</t>
  </si>
  <si>
    <t>125-130</t>
  </si>
  <si>
    <t>64"</t>
  </si>
  <si>
    <t>65"</t>
  </si>
  <si>
    <t>64 NARANJA FLOUR</t>
  </si>
  <si>
    <t>08-13</t>
  </si>
  <si>
    <t xml:space="preserve">KNIT FABRIC                               100% POLYESTER SQUARE MESH </t>
  </si>
  <si>
    <t>WHITE</t>
  </si>
  <si>
    <t>100% Polyester flat collar  LENGTH XWIDTH (41X10CM)</t>
  </si>
  <si>
    <t>/</t>
  </si>
  <si>
    <t>41X10CM</t>
  </si>
  <si>
    <t>100% Polyester flat collar  LENGTH XWIDTH (43X10CM)</t>
  </si>
  <si>
    <t>43X10CM</t>
  </si>
  <si>
    <t>100% Polyester flat collar  LENGTH XWIDTH (45X10CM)</t>
  </si>
  <si>
    <t>45X10CM</t>
  </si>
  <si>
    <t xml:space="preserve">75/22 </t>
  </si>
  <si>
    <t>KNIT FABRIC 100% POLYESTER BIRDS EYE MESH MELANGE</t>
  </si>
  <si>
    <t>72 VERDE OSCURO JASPE</t>
  </si>
  <si>
    <t>130-135</t>
  </si>
  <si>
    <t>67"</t>
  </si>
  <si>
    <t>221/21, 229/23, 300/14, 225/23</t>
  </si>
  <si>
    <t>INTERLOCK
100%Polyester</t>
  </si>
  <si>
    <t>71"</t>
  </si>
  <si>
    <t>73"</t>
  </si>
  <si>
    <t>NAVY</t>
  </si>
  <si>
    <t>39 GREEN</t>
  </si>
  <si>
    <t>TURQUOISE</t>
  </si>
  <si>
    <t>230-16&amp;230-16N</t>
  </si>
  <si>
    <t>98/13</t>
  </si>
  <si>
    <t xml:space="preserve">KNIT FABRIC 
100% POLIYESTER WARP KNT PLAIN FBRIC </t>
  </si>
  <si>
    <t>BLACK</t>
  </si>
  <si>
    <t>70"</t>
  </si>
  <si>
    <t>95/25</t>
  </si>
  <si>
    <t xml:space="preserve">WOVEN FABRIC 100% POLIYESTER  </t>
  </si>
  <si>
    <t>BLACK (BODY)</t>
  </si>
  <si>
    <t>57"</t>
  </si>
  <si>
    <t>58"</t>
  </si>
  <si>
    <t>KNIT FABRIC 100%POLYESTER CREPE FABRIC</t>
  </si>
  <si>
    <t>BLACK LINNING</t>
  </si>
  <si>
    <t>60"</t>
  </si>
  <si>
    <t>61"</t>
  </si>
  <si>
    <t>KNIT FABRIC 90%POLYESTER 10%SPANDEX  elastic band 4CM</t>
  </si>
  <si>
    <t xml:space="preserve">BLACK </t>
  </si>
  <si>
    <t>Same as sample</t>
  </si>
  <si>
    <t>4cm</t>
  </si>
  <si>
    <t>TOTAL</t>
  </si>
  <si>
    <t>TOTAL VALUE: SAY US DOLLARS THIRTY EIGHT THOUSAND SIX HUNDRED SIXTY SEVEN AND NINTY  CENTS  ONLY.</t>
  </si>
  <si>
    <t xml:space="preserve">QUALITY REQUIREMENTS:                                                                                                                                                                                                                                                                              </t>
  </si>
  <si>
    <r>
      <rPr>
        <sz val="10"/>
        <rFont val="Calibri"/>
        <charset val="134"/>
      </rPr>
      <t xml:space="preserve">1. THE WEIGHT  FLOAT CAN BE -5%~+5%.  THE WIDTH FLOAT CAN BE -1~+1 INCH .     </t>
    </r>
    <r>
      <rPr>
        <sz val="10"/>
        <rFont val="宋体"/>
        <charset val="134"/>
      </rPr>
      <t>克重可浮动-5%~+5%,门幅可浮动-1~+1英寸</t>
    </r>
  </si>
  <si>
    <r>
      <rPr>
        <sz val="10"/>
        <rFont val="Calibri"/>
        <charset val="134"/>
      </rPr>
      <t>2. BULK QUANTITY TOLERANCE :+3/-3% EACH COLOR.</t>
    </r>
    <r>
      <rPr>
        <sz val="10"/>
        <rFont val="宋体"/>
        <charset val="134"/>
      </rPr>
      <t>发货数量可浮动-3%~+3% 每个颜色或款式</t>
    </r>
  </si>
  <si>
    <r>
      <rPr>
        <sz val="10"/>
        <rFont val="Calibri"/>
        <charset val="134"/>
      </rPr>
      <t>3. PACKING:AS PER EXPORT STANDARD(WITH BETTER QUALITY BAGS,WHICH DOES NOT GET OPENED FROM HANDING).</t>
    </r>
    <r>
      <rPr>
        <sz val="10"/>
        <rFont val="宋体"/>
        <charset val="134"/>
      </rPr>
      <t>包装按常规出口标准包装</t>
    </r>
  </si>
  <si>
    <r>
      <rPr>
        <b/>
        <sz val="10"/>
        <rFont val="宋体"/>
        <charset val="134"/>
      </rPr>
      <t>4.</t>
    </r>
    <r>
      <rPr>
        <b/>
        <sz val="10"/>
        <rFont val="Calibri"/>
        <charset val="134"/>
      </rPr>
      <t>THE PRICE MUST BE  CHANGED IF WE NOT GET TT DEPOSIT OR LC WITHIN 5 DAYS ONCE THIS PI SIGNED AND SEALED.</t>
    </r>
    <r>
      <rPr>
        <b/>
        <sz val="10"/>
        <rFont val="宋体"/>
        <charset val="134"/>
      </rPr>
      <t>合同一旦签订5天内未收到定金或信用证正本有权更改价格</t>
    </r>
  </si>
  <si>
    <t>COUNTRY OF ORIGIN:</t>
  </si>
  <si>
    <t>CHINA</t>
  </si>
  <si>
    <t>LOADING PORT:</t>
  </si>
  <si>
    <t>NINGBO/SHANGHAI  CHINA</t>
  </si>
  <si>
    <t>TRANSPORTATION PLAN:</t>
  </si>
  <si>
    <t>BY SEA SHIP</t>
  </si>
  <si>
    <t>DELIVER DATE:</t>
  </si>
  <si>
    <t>30-35DAYS AFTER GETING LC  AND LAB-DIP APPROVAL</t>
  </si>
  <si>
    <t>PAYMENT:</t>
  </si>
  <si>
    <t xml:space="preserve">LC 90DAYS FROM BL DATE </t>
  </si>
  <si>
    <t>FORWARDER AGENT:</t>
  </si>
  <si>
    <t>AS CUSTOMER</t>
  </si>
  <si>
    <t>FREIGHT CHARGE:</t>
  </si>
  <si>
    <t>USD 1600</t>
  </si>
  <si>
    <t>OTHER TERMS:</t>
  </si>
  <si>
    <t>1).ONCE THIS AGREEMENT SIGNED ,THE BOTH PARTIES SHOULD FOLLOW PROPERLY.</t>
  </si>
  <si>
    <t>&amp;CONDITIONS:</t>
  </si>
  <si>
    <t xml:space="preserve">2).THIS AGREEMENT SHALL BE PROVIDED IN DUPLICATE,WITH EACH PARTY HOLDING ONE COPY,AND THE TWO COPIES </t>
  </si>
  <si>
    <t>1,IF THE ISSUING BANK HAVE SWIFT KEY ARRANGEMENT WITH OUR BANK (SWIFT BIC:ZJTLCNBH), PLS CHOOSE THE ROUTE:</t>
  </si>
  <si>
    <t xml:space="preserve">                       L/C  BANK DETAILS:</t>
  </si>
  <si>
    <t>BENEFICIARY  NAME:</t>
  </si>
  <si>
    <t>FIRST Advising Bank:</t>
  </si>
  <si>
    <t>BANK OF CHINA TAIZHOU BRANCH</t>
  </si>
  <si>
    <t>SWIFT BIC:</t>
  </si>
  <si>
    <t>BKCHCNBJ92J</t>
  </si>
  <si>
    <t>BANK ADDRESS:</t>
  </si>
  <si>
    <t>NO. 281, JIEFANG SOUTH ROAD, JIAOJIANG DISTRICT, TAIZHOU, ZHEJIANG, CHINA</t>
  </si>
  <si>
    <t>TEL.NO.:</t>
  </si>
  <si>
    <t>0086 576 89015045</t>
  </si>
  <si>
    <t>second though bank:</t>
  </si>
  <si>
    <t>BANK OF TAIZHOU</t>
  </si>
  <si>
    <t>TZBKCNBTXXX</t>
  </si>
  <si>
    <t xml:space="preserve"> NO. 699, SHIFU AVENUE, TAIZHOU, ZHEJIANG, 318050, CHINA</t>
  </si>
  <si>
    <t>0086-576-89036806</t>
  </si>
  <si>
    <t>BENEFICIARY A/C NO:</t>
  </si>
  <si>
    <t>551296893100020</t>
  </si>
  <si>
    <t>BENEFICIARY ADDRESS:</t>
  </si>
  <si>
    <t>ROOM 0501-3,BUILDING 1,CHUANSHANG BUILDING,HUASHE STREET,KEQIAO DISTRICT,SHAOXING CITY,ZHEJIANG PROVINCE</t>
  </si>
  <si>
    <t>REMARK:</t>
  </si>
  <si>
    <t>PLS DO FIT BOTH SWIFT BIC(BKCHCNBJ92J AND TZBKCNBTXXX) WHEN REMITTANCE</t>
  </si>
  <si>
    <t xml:space="preserve">       PEOPLE'S COURT WHERE THE AGREEMENT SIGNED.THE AGREEMENT WILL TAKE EFFECT IMMEDIATELY ONCE SIGNED </t>
  </si>
  <si>
    <r>
      <rPr>
        <b/>
        <sz val="9"/>
        <rFont val="Times New Roman"/>
        <charset val="134"/>
      </rPr>
      <t>REMARKS</t>
    </r>
    <r>
      <rPr>
        <b/>
        <sz val="9"/>
        <rFont val="宋体"/>
        <charset val="134"/>
      </rPr>
      <t>：</t>
    </r>
  </si>
  <si>
    <t>（5）this order is invalid if the final LC not follow the PI issuing bank and the buyer take all resposibilty if the buyer changes the issuing bank without the supplier'consent 若买家不经过卖家同意私自更改开证行及不按照此PI条款，则此订单作废且买家承担所有违规责任。</t>
  </si>
  <si>
    <r>
      <rPr>
        <sz val="9"/>
        <rFont val="Times New Roman"/>
        <charset val="134"/>
      </rPr>
      <t>(6)It’s mutually agreed that the Certificate of Quality, Quantity/Weight issued by Entry-Exit Inspection   and</t>
    </r>
    <r>
      <rPr>
        <u/>
        <sz val="9"/>
        <rFont val="Times New Roman"/>
        <charset val="134"/>
      </rPr>
      <t xml:space="preserve"> </t>
    </r>
    <r>
      <rPr>
        <sz val="9"/>
        <rFont val="Times New Roman"/>
        <charset val="134"/>
      </rPr>
      <t xml:space="preserve">Quarantine Bureau of the People’s Republic of China or its Branch shall be the final evidence of delivery. </t>
    </r>
    <r>
      <rPr>
        <sz val="9"/>
        <rFont val="宋体"/>
        <charset val="134"/>
      </rPr>
      <t>双方同意以中国出入境检验检疫局及其分支机构出具的品质、数量</t>
    </r>
    <r>
      <rPr>
        <sz val="9"/>
        <rFont val="Times New Roman"/>
        <charset val="134"/>
      </rPr>
      <t>/</t>
    </r>
    <r>
      <rPr>
        <sz val="9"/>
        <rFont val="宋体"/>
        <charset val="134"/>
      </rPr>
      <t>重量检验证书作为卖方交货的最终证明。</t>
    </r>
  </si>
  <si>
    <r>
      <rPr>
        <sz val="9"/>
        <rFont val="Times New Roman"/>
        <charset val="134"/>
      </rPr>
      <t>(7) Any disputes regarding the goods quality, the Seller should be notified by the Buyer within 30 days after the arrival of the goods at the destination specified in the B/L; any disputes regarding the goods package, quantity and specifications, the Seller should be notified by the Buyer within 15 days after the arrival of goods at the destination specified in the B/L. Buyer must show the certification of test report about the quality problem from the third part to buyer of any disputes regarding the goods. No claims shall be lodged by the buyer after fabric cutting and the claim amount shall not excced 20% of the transaction amount of this fabric.</t>
    </r>
    <r>
      <rPr>
        <sz val="9"/>
        <rFont val="宋体"/>
        <charset val="134"/>
      </rPr>
      <t>凡属品质异议，须于货到提单载明的目的港之日起</t>
    </r>
    <r>
      <rPr>
        <sz val="9"/>
        <rFont val="Times New Roman"/>
        <charset val="134"/>
      </rPr>
      <t>30</t>
    </r>
    <r>
      <rPr>
        <sz val="9"/>
        <rFont val="宋体"/>
        <charset val="134"/>
      </rPr>
      <t>天内提出；凡属包装、数量、规格异议，须于货到提单目的港之日起</t>
    </r>
    <r>
      <rPr>
        <sz val="9"/>
        <rFont val="Times New Roman"/>
        <charset val="134"/>
      </rPr>
      <t>15</t>
    </r>
    <r>
      <rPr>
        <sz val="9"/>
        <rFont val="宋体"/>
        <charset val="134"/>
      </rPr>
      <t>天内提出。有关货物品质的任何异议，买方需向卖方提供第三出的有关货物品质问题的报告。买方裁剪面料后，不得向卖方提出任何索赔要求，且索赔金额不得超过此面料的交易金额</t>
    </r>
    <r>
      <rPr>
        <sz val="9"/>
        <rFont val="Times New Roman"/>
        <charset val="134"/>
      </rPr>
      <t>20%</t>
    </r>
  </si>
  <si>
    <r>
      <rPr>
        <sz val="9"/>
        <rFont val="宋体"/>
        <charset val="134"/>
      </rPr>
      <t>（8）</t>
    </r>
    <r>
      <rPr>
        <sz val="9"/>
        <rFont val="Times New Roman"/>
        <charset val="134"/>
      </rPr>
      <t xml:space="preserve">If hanger samples stamp-sealed or similarly sealed by the seller, half of which the buyer receives from the seller by courier service, the remaining half the seller holds at hand, of fabric before shipment are approved by the buyer, with which the quality of whole lots is in conformity identified by a pubilc surveyor mutually agreed upon, the seller assumes no respobsibility for the buyer’s any losses if any. </t>
    </r>
    <r>
      <rPr>
        <sz val="9"/>
        <rFont val="宋体"/>
        <charset val="134"/>
      </rPr>
      <t>卖方用图章加封或类似方式加封的挂样装运前一经买方确认，该挂样一半通过快邮寄交买方，另一半卖方自持，只要大货品质经双方认可的检验人（机构）确认与该挂样相符，卖方不承担买方可能的任何损失</t>
    </r>
  </si>
  <si>
    <r>
      <rPr>
        <sz val="9"/>
        <rFont val="Times New Roman"/>
        <charset val="134"/>
      </rPr>
      <t>(9) The Seller shall not be responsible for late delivery or non-delivery in the event of FORCE MAJEURE, or any other contingencies beyond Seller’s control.</t>
    </r>
    <r>
      <rPr>
        <sz val="9"/>
        <rFont val="宋体"/>
        <charset val="134"/>
      </rPr>
      <t>由于不可抗力或其他不可抗拒的事故，使卖方不能在合同规定的期限内交货或不能交货，卖方免责。</t>
    </r>
  </si>
  <si>
    <r>
      <rPr>
        <sz val="9"/>
        <rFont val="Times New Roman"/>
        <charset val="134"/>
      </rPr>
      <t>(10) Any disputes arising from or in connection with this contract shall be submitted to the China International Economics and Trade Arbitration Commission, Shanghai Commission for arbitration which shall be conducted in accordance with the Commission’s Arbitration rules in effect. The arbitral award is final and binding upon the both parties.</t>
    </r>
    <r>
      <rPr>
        <sz val="9"/>
        <rFont val="宋体"/>
        <charset val="134"/>
      </rPr>
      <t>凡因执行本合同或与本合同有关的任何争议，应提交中国国际经济贸易仲裁委员会上海分会，根据该会现行的仲裁规则进行仲裁；仲裁裁决是终局的，对双方均有约束力。</t>
    </r>
  </si>
  <si>
    <r>
      <rPr>
        <sz val="9"/>
        <rFont val="Times New Roman"/>
        <charset val="134"/>
      </rPr>
      <t>(11) The formation of this contract, validity, interpretation, execution and settlement of disputes shall be governed by the related laws of the People’s Republic of China and &lt; United Nations Convention on International Goods Sales Contract&gt;; the PRICE TERMS is governed by “ INCOTERMS 2000”.</t>
    </r>
    <r>
      <rPr>
        <sz val="9"/>
        <rFont val="宋体"/>
        <charset val="134"/>
      </rPr>
      <t>本合同的订立、效力、解释、履行和争议的解决，均受中华人民共和国法律和《联合国国际货物销售合同公约》约束；价格条款适用《</t>
    </r>
    <r>
      <rPr>
        <sz val="9"/>
        <rFont val="Times New Roman"/>
        <charset val="134"/>
      </rPr>
      <t>2000</t>
    </r>
    <r>
      <rPr>
        <sz val="9"/>
        <rFont val="宋体"/>
        <charset val="134"/>
      </rPr>
      <t>国际贸易术语解释通则》。</t>
    </r>
  </si>
  <si>
    <r>
      <rPr>
        <sz val="9"/>
        <rFont val="Times New Roman"/>
        <charset val="134"/>
      </rPr>
      <t>(12) The ownership of the cargo under this contract shall not be transferred until the Buyer make full payment.</t>
    </r>
    <r>
      <rPr>
        <sz val="9"/>
        <rFont val="宋体"/>
        <charset val="134"/>
      </rPr>
      <t>买方在支付全额货款前，货物的所有权由卖方行使。</t>
    </r>
  </si>
  <si>
    <r>
      <rPr>
        <sz val="9"/>
        <rFont val="Times New Roman"/>
        <charset val="134"/>
      </rPr>
      <t>(13) If any different interpretations between Chinese and English terms, the Chinese version shall be decisive.</t>
    </r>
    <r>
      <rPr>
        <sz val="9"/>
        <rFont val="宋体"/>
        <charset val="134"/>
      </rPr>
      <t>若对本合同中的英文条款的解释发生歧义，以中文表达为准</t>
    </r>
  </si>
  <si>
    <r>
      <rPr>
        <sz val="9"/>
        <rFont val="Times New Roman"/>
        <charset val="134"/>
      </rPr>
      <t>(14) This contract would come into force only after it is signed by the President, or Vice President, or General Manager, or Vice General Manager of the Seller or by the Person authorized by the President of the Seller.</t>
    </r>
    <r>
      <rPr>
        <sz val="9"/>
        <rFont val="宋体"/>
        <charset val="134"/>
      </rPr>
      <t>本合同由卖方董事长、副董事长、总经理、副总经理或董事长授权的代理人签字方为有效。</t>
    </r>
  </si>
  <si>
    <t>BUYER'S SIGNATURE</t>
  </si>
  <si>
    <t>SELLER'S SIGNATURE</t>
  </si>
  <si>
    <t>ADDRESS:</t>
  </si>
  <si>
    <t>SHAOXING BOQIN IMPORT AND EXPORT CO.,LTD
ROOM 0501-3,BUILDING 1,CHUANSHANG BUILDING,HUASHE STREET,KEQIAO DISTRICT,SHAOXING CITY,ZHEJIANG PROVINCE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</si>
</sst>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quot;/Kg&quot;"/>
    <numFmt numFmtId="177" formatCode="\$#,##0.00;\-\$#,##0.00"/>
    <numFmt numFmtId="178" formatCode="&quot;US$&quot;#,##0.0;\-&quot;US$&quot;#,##0.0"/>
    <numFmt numFmtId="179" formatCode="\$0.00&quot;/PCS&quot;"/>
    <numFmt numFmtId="180" formatCode="\$0.00&quot;/YD&quot;"/>
    <numFmt numFmtId="181" formatCode="\$0.00&quot;/Yd&quot;"/>
    <numFmt numFmtId="182" formatCode="&quot;$&quot;#,##0.00_);\(&quot;$&quot;#,##0.00\)"/>
    <numFmt numFmtId="183" formatCode="0.00_);\(0.00\)"/>
    <numFmt numFmtId="184" formatCode="0&quot;kgs&quot;"/>
    <numFmt numFmtId="185" formatCode="0&quot;pcs&quot;"/>
    <numFmt numFmtId="186" formatCode="0&quot;yds&quot;"/>
  </numFmts>
  <fonts count="45">
    <font>
      <sz val="12"/>
      <name val="宋体"/>
      <charset val="134"/>
    </font>
    <font>
      <sz val="12"/>
      <name val="Calibri"/>
      <charset val="134"/>
    </font>
    <font>
      <sz val="12"/>
      <name val="Courier New"/>
      <charset val="134"/>
    </font>
    <font>
      <sz val="10"/>
      <name val="Courier New"/>
      <charset val="134"/>
    </font>
    <font>
      <b/>
      <sz val="12"/>
      <name val="Courier New"/>
      <charset val="134"/>
    </font>
    <font>
      <b/>
      <sz val="16"/>
      <name val="Times New Roman"/>
      <charset val="134"/>
    </font>
    <font>
      <b/>
      <u/>
      <sz val="18"/>
      <name val="Times New Roman"/>
      <charset val="134"/>
    </font>
    <font>
      <sz val="10"/>
      <name val="Calibri"/>
      <charset val="134"/>
    </font>
    <font>
      <b/>
      <sz val="12"/>
      <name val="Calibri"/>
      <charset val="134"/>
    </font>
    <font>
      <b/>
      <sz val="10"/>
      <name val="Calibri"/>
      <charset val="134"/>
    </font>
    <font>
      <sz val="9"/>
      <name val="Calibri"/>
      <charset val="134"/>
    </font>
    <font>
      <sz val="9"/>
      <color theme="1"/>
      <name val="Calibri"/>
      <charset val="134"/>
    </font>
    <font>
      <sz val="9"/>
      <color rgb="FFFFFF00"/>
      <name val="Calibri"/>
      <charset val="134"/>
    </font>
    <font>
      <b/>
      <sz val="9"/>
      <name val="Calibri"/>
      <charset val="134"/>
    </font>
    <font>
      <b/>
      <sz val="11"/>
      <name val="Calibri"/>
      <charset val="134"/>
    </font>
    <font>
      <b/>
      <sz val="10"/>
      <name val="宋体"/>
      <charset val="134"/>
    </font>
    <font>
      <sz val="11"/>
      <color theme="1"/>
      <name val="Calibri"/>
      <charset val="134"/>
    </font>
    <font>
      <b/>
      <sz val="8"/>
      <name val="Calibri"/>
      <charset val="134"/>
    </font>
    <font>
      <sz val="8"/>
      <name val="Calibri"/>
      <charset val="134"/>
    </font>
    <font>
      <b/>
      <sz val="9"/>
      <name val="Times New Roman"/>
      <charset val="134"/>
    </font>
    <font>
      <sz val="9"/>
      <name val="宋体"/>
      <charset val="134"/>
    </font>
    <font>
      <sz val="9"/>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b/>
      <sz val="9"/>
      <name val="宋体"/>
      <charset val="134"/>
    </font>
    <font>
      <u/>
      <sz val="9"/>
      <name val="Times New Roman"/>
      <charset val="134"/>
    </font>
  </fonts>
  <fills count="37">
    <fill>
      <patternFill patternType="none"/>
    </fill>
    <fill>
      <patternFill patternType="gray125"/>
    </fill>
    <fill>
      <patternFill patternType="solid">
        <fgColor theme="0"/>
        <bgColor indexed="64"/>
      </patternFill>
    </fill>
    <fill>
      <patternFill patternType="solid">
        <fgColor theme="3" tint="0.799951170384838"/>
        <bgColor indexed="64"/>
      </patternFill>
    </fill>
    <fill>
      <patternFill patternType="solid">
        <fgColor rgb="FFFFFF00"/>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6" borderId="38"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39" applyNumberFormat="0" applyFill="0" applyAlignment="0" applyProtection="0">
      <alignment vertical="center"/>
    </xf>
    <xf numFmtId="0" fontId="29" fillId="0" borderId="39" applyNumberFormat="0" applyFill="0" applyAlignment="0" applyProtection="0">
      <alignment vertical="center"/>
    </xf>
    <xf numFmtId="0" fontId="30" fillId="0" borderId="40" applyNumberFormat="0" applyFill="0" applyAlignment="0" applyProtection="0">
      <alignment vertical="center"/>
    </xf>
    <xf numFmtId="0" fontId="30" fillId="0" borderId="0" applyNumberFormat="0" applyFill="0" applyBorder="0" applyAlignment="0" applyProtection="0">
      <alignment vertical="center"/>
    </xf>
    <xf numFmtId="0" fontId="31" fillId="7" borderId="41" applyNumberFormat="0" applyAlignment="0" applyProtection="0">
      <alignment vertical="center"/>
    </xf>
    <xf numFmtId="0" fontId="32" fillId="8" borderId="42" applyNumberFormat="0" applyAlignment="0" applyProtection="0">
      <alignment vertical="center"/>
    </xf>
    <xf numFmtId="0" fontId="33" fillId="8" borderId="41" applyNumberFormat="0" applyAlignment="0" applyProtection="0">
      <alignment vertical="center"/>
    </xf>
    <xf numFmtId="0" fontId="34" fillId="9" borderId="43" applyNumberFormat="0" applyAlignment="0" applyProtection="0">
      <alignment vertical="center"/>
    </xf>
    <xf numFmtId="0" fontId="35" fillId="0" borderId="44" applyNumberFormat="0" applyFill="0" applyAlignment="0" applyProtection="0">
      <alignment vertical="center"/>
    </xf>
    <xf numFmtId="0" fontId="36" fillId="0" borderId="45" applyNumberFormat="0" applyFill="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0" fillId="36" borderId="0" applyNumberFormat="0" applyBorder="0" applyAlignment="0" applyProtection="0">
      <alignment vertical="center"/>
    </xf>
    <xf numFmtId="0" fontId="16" fillId="0" borderId="0"/>
    <xf numFmtId="0" fontId="0" fillId="0" borderId="0"/>
    <xf numFmtId="0" fontId="0" fillId="0" borderId="0"/>
    <xf numFmtId="0" fontId="16" fillId="0" borderId="0"/>
  </cellStyleXfs>
  <cellXfs count="155">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2" fillId="0" borderId="0" xfId="0" applyFont="1"/>
    <xf numFmtId="0" fontId="2" fillId="0" borderId="0" xfId="0" applyFont="1" applyAlignment="1">
      <alignment vertical="center"/>
    </xf>
    <xf numFmtId="0" fontId="4" fillId="0" borderId="0" xfId="0" applyFont="1" applyAlignment="1">
      <alignment vertical="center"/>
    </xf>
    <xf numFmtId="0" fontId="0" fillId="0" borderId="0" xfId="0" applyAlignment="1">
      <alignment horizont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wrapText="1"/>
    </xf>
    <xf numFmtId="0" fontId="8" fillId="0" borderId="1" xfId="0" applyFont="1" applyBorder="1" applyAlignment="1">
      <alignment horizontal="lef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9" fillId="0" borderId="4" xfId="0" applyFont="1" applyBorder="1" applyAlignment="1">
      <alignment horizontal="left" vertical="center"/>
    </xf>
    <xf numFmtId="14" fontId="9" fillId="0" borderId="5" xfId="0" applyNumberFormat="1" applyFont="1" applyBorder="1" applyAlignment="1">
      <alignment horizontal="left" vertical="center"/>
    </xf>
    <xf numFmtId="0" fontId="9" fillId="0" borderId="6" xfId="0" applyFont="1" applyBorder="1" applyAlignment="1">
      <alignment horizontal="center" vertical="center" wrapText="1"/>
    </xf>
    <xf numFmtId="0" fontId="9" fillId="2" borderId="7" xfId="0" applyFont="1" applyFill="1" applyBorder="1" applyAlignment="1">
      <alignment horizontal="left" vertical="center" wrapText="1"/>
    </xf>
    <xf numFmtId="0" fontId="9" fillId="0" borderId="7" xfId="0" applyFont="1" applyBorder="1" applyAlignment="1">
      <alignment horizontal="left" vertical="center"/>
    </xf>
    <xf numFmtId="14" fontId="9" fillId="0" borderId="8" xfId="0" applyNumberFormat="1" applyFont="1" applyBorder="1" applyAlignment="1">
      <alignment horizontal="left" vertical="center"/>
    </xf>
    <xf numFmtId="0" fontId="9" fillId="2" borderId="6" xfId="0" applyFont="1" applyFill="1" applyBorder="1" applyAlignment="1">
      <alignment horizontal="left" vertical="center" wrapText="1"/>
    </xf>
    <xf numFmtId="0" fontId="9" fillId="2" borderId="7" xfId="0" applyFont="1" applyFill="1" applyBorder="1" applyAlignment="1">
      <alignment horizontal="left" vertical="center"/>
    </xf>
    <xf numFmtId="0" fontId="9" fillId="0" borderId="8" xfId="0" applyFont="1" applyBorder="1" applyAlignment="1">
      <alignment horizontal="left" vertical="center"/>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7" xfId="0"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Fill="1" applyBorder="1" applyAlignment="1">
      <alignment horizontal="center" vertical="center" wrapText="1"/>
    </xf>
    <xf numFmtId="0" fontId="10" fillId="0" borderId="7" xfId="0" applyFont="1" applyBorder="1" applyAlignment="1">
      <alignment horizontal="center" vertical="center"/>
    </xf>
    <xf numFmtId="0" fontId="11" fillId="2" borderId="7" xfId="0" applyFont="1" applyFill="1" applyBorder="1" applyAlignment="1">
      <alignment horizontal="center" vertical="center"/>
    </xf>
    <xf numFmtId="0" fontId="10" fillId="0" borderId="7" xfId="0" applyFont="1" applyBorder="1" applyAlignment="1">
      <alignment horizontal="center" vertical="center" wrapText="1"/>
    </xf>
    <xf numFmtId="0" fontId="10" fillId="2" borderId="7" xfId="0" applyFont="1" applyFill="1" applyBorder="1" applyAlignment="1">
      <alignment horizontal="center" vertical="center" wrapText="1"/>
    </xf>
    <xf numFmtId="176" fontId="10" fillId="2" borderId="7" xfId="2" applyNumberFormat="1" applyFont="1" applyFill="1" applyBorder="1" applyAlignment="1">
      <alignment horizontal="center" vertical="center" shrinkToFit="1"/>
    </xf>
    <xf numFmtId="177" fontId="10" fillId="2" borderId="7" xfId="0" applyNumberFormat="1" applyFont="1" applyFill="1" applyBorder="1" applyAlignment="1">
      <alignment horizontal="center" vertical="center" shrinkToFit="1"/>
    </xf>
    <xf numFmtId="178" fontId="10" fillId="0" borderId="7" xfId="0" applyNumberFormat="1" applyFont="1" applyBorder="1" applyAlignment="1">
      <alignment horizontal="center" vertical="center"/>
    </xf>
    <xf numFmtId="0" fontId="9" fillId="0" borderId="8" xfId="0" applyFont="1" applyBorder="1" applyAlignment="1">
      <alignment horizontal="center" vertical="center" wrapText="1"/>
    </xf>
    <xf numFmtId="176" fontId="10" fillId="0" borderId="7" xfId="2" applyNumberFormat="1" applyFont="1" applyFill="1" applyBorder="1" applyAlignment="1">
      <alignment horizontal="center" vertical="center" shrinkToFit="1"/>
    </xf>
    <xf numFmtId="0" fontId="10" fillId="2" borderId="7" xfId="0" applyFont="1" applyFill="1" applyBorder="1" applyAlignment="1">
      <alignment horizontal="center" vertical="center"/>
    </xf>
    <xf numFmtId="177" fontId="10" fillId="0" borderId="7" xfId="0" applyNumberFormat="1" applyFont="1" applyFill="1" applyBorder="1" applyAlignment="1">
      <alignment horizontal="center" vertical="center" shrinkToFit="1"/>
    </xf>
    <xf numFmtId="0" fontId="11" fillId="0" borderId="7" xfId="0" applyFont="1" applyFill="1" applyBorder="1" applyAlignment="1">
      <alignment horizontal="center" vertical="center"/>
    </xf>
    <xf numFmtId="0" fontId="10" fillId="0" borderId="7" xfId="0" applyFont="1" applyFill="1" applyBorder="1" applyAlignment="1">
      <alignment horizontal="center" vertical="center"/>
    </xf>
    <xf numFmtId="177" fontId="10" fillId="0" borderId="7" xfId="0" applyNumberFormat="1" applyFont="1" applyFill="1" applyBorder="1" applyAlignment="1">
      <alignment horizontal="center" vertical="center"/>
    </xf>
    <xf numFmtId="49" fontId="10" fillId="2" borderId="6" xfId="0" applyNumberFormat="1" applyFont="1" applyFill="1" applyBorder="1" applyAlignment="1">
      <alignment horizontal="center" vertical="center" wrapText="1"/>
    </xf>
    <xf numFmtId="0" fontId="12" fillId="4" borderId="7" xfId="0" applyFont="1" applyFill="1" applyBorder="1" applyAlignment="1">
      <alignment horizontal="center" vertical="center"/>
    </xf>
    <xf numFmtId="0" fontId="10" fillId="4" borderId="7" xfId="0" applyFont="1" applyFill="1" applyBorder="1" applyAlignment="1">
      <alignment horizontal="center" vertical="center" wrapText="1"/>
    </xf>
    <xf numFmtId="3" fontId="10" fillId="0" borderId="7" xfId="0" applyNumberFormat="1" applyFont="1" applyFill="1" applyBorder="1" applyAlignment="1">
      <alignment horizontal="center" vertical="center" wrapText="1"/>
    </xf>
    <xf numFmtId="179" fontId="10" fillId="0" borderId="7" xfId="0" applyNumberFormat="1" applyFont="1" applyFill="1" applyBorder="1" applyAlignment="1">
      <alignment horizontal="center" vertical="center" wrapText="1"/>
    </xf>
    <xf numFmtId="177" fontId="10" fillId="0" borderId="7" xfId="0" applyNumberFormat="1" applyFont="1" applyBorder="1" applyAlignment="1">
      <alignment horizontal="center" vertical="center"/>
    </xf>
    <xf numFmtId="1" fontId="10" fillId="2" borderId="7" xfId="0" applyNumberFormat="1" applyFont="1" applyFill="1" applyBorder="1" applyAlignment="1">
      <alignment horizontal="center" vertical="center" shrinkToFit="1"/>
    </xf>
    <xf numFmtId="176" fontId="10" fillId="0" borderId="7" xfId="0" applyNumberFormat="1" applyFont="1" applyFill="1" applyBorder="1" applyAlignment="1">
      <alignment horizontal="center" vertical="center" shrinkToFit="1"/>
    </xf>
    <xf numFmtId="177" fontId="11" fillId="0" borderId="7" xfId="0" applyNumberFormat="1" applyFont="1" applyFill="1" applyBorder="1" applyAlignment="1">
      <alignment horizontal="center" vertical="center" wrapText="1"/>
    </xf>
    <xf numFmtId="49" fontId="10" fillId="0" borderId="6" xfId="0" applyNumberFormat="1" applyFont="1" applyFill="1" applyBorder="1" applyAlignment="1">
      <alignment horizontal="center" vertical="center" wrapText="1"/>
    </xf>
    <xf numFmtId="1" fontId="10" fillId="0" borderId="7" xfId="0" applyNumberFormat="1" applyFont="1" applyFill="1" applyBorder="1" applyAlignment="1">
      <alignment horizontal="center" vertical="center"/>
    </xf>
    <xf numFmtId="1" fontId="11" fillId="0" borderId="7" xfId="0" applyNumberFormat="1" applyFont="1" applyFill="1" applyBorder="1" applyAlignment="1">
      <alignment horizontal="center" vertical="center" wrapText="1"/>
    </xf>
    <xf numFmtId="180" fontId="10" fillId="2" borderId="7" xfId="0" applyNumberFormat="1" applyFont="1" applyFill="1" applyBorder="1" applyAlignment="1">
      <alignment horizontal="center" vertical="center" shrinkToFit="1"/>
    </xf>
    <xf numFmtId="177" fontId="10" fillId="0" borderId="7" xfId="0" applyNumberFormat="1" applyFont="1" applyFill="1" applyBorder="1" applyAlignment="1">
      <alignment horizontal="center" vertical="center" wrapText="1"/>
    </xf>
    <xf numFmtId="176" fontId="10" fillId="2" borderId="7" xfId="0" applyNumberFormat="1" applyFont="1" applyFill="1" applyBorder="1" applyAlignment="1">
      <alignment horizontal="center" vertical="center" shrinkToFit="1"/>
    </xf>
    <xf numFmtId="181" fontId="10" fillId="2" borderId="7" xfId="0" applyNumberFormat="1" applyFont="1" applyFill="1" applyBorder="1" applyAlignment="1">
      <alignment horizontal="center" vertical="center" shrinkToFit="1"/>
    </xf>
    <xf numFmtId="0" fontId="13" fillId="0" borderId="6" xfId="0" applyFont="1" applyBorder="1" applyAlignment="1">
      <alignment horizontal="center" vertical="center"/>
    </xf>
    <xf numFmtId="0" fontId="13" fillId="0" borderId="7" xfId="0" applyFont="1" applyBorder="1" applyAlignment="1">
      <alignment horizontal="center" vertical="center"/>
    </xf>
    <xf numFmtId="182"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184" fontId="13" fillId="0" borderId="7" xfId="0" applyNumberFormat="1" applyFont="1" applyBorder="1" applyAlignment="1">
      <alignment horizontal="center" vertical="center"/>
    </xf>
    <xf numFmtId="178" fontId="13" fillId="0" borderId="7" xfId="0" applyNumberFormat="1" applyFont="1" applyBorder="1" applyAlignment="1">
      <alignment horizontal="center" vertical="center"/>
    </xf>
    <xf numFmtId="185" fontId="13" fillId="0" borderId="7" xfId="0" applyNumberFormat="1" applyFont="1" applyBorder="1" applyAlignment="1">
      <alignment horizontal="center" vertical="center"/>
    </xf>
    <xf numFmtId="186" fontId="13" fillId="0" borderId="7" xfId="0" applyNumberFormat="1" applyFont="1" applyBorder="1" applyAlignment="1">
      <alignment horizontal="center" vertical="center"/>
    </xf>
    <xf numFmtId="0" fontId="14" fillId="0" borderId="9" xfId="0" applyFont="1" applyBorder="1" applyAlignment="1">
      <alignment horizontal="left"/>
    </xf>
    <xf numFmtId="0" fontId="14" fillId="0" borderId="10" xfId="0" applyFont="1" applyBorder="1" applyAlignment="1">
      <alignment horizontal="left"/>
    </xf>
    <xf numFmtId="0" fontId="14" fillId="0" borderId="11" xfId="0" applyFont="1" applyBorder="1" applyAlignment="1">
      <alignment horizontal="left"/>
    </xf>
    <xf numFmtId="0" fontId="14" fillId="0" borderId="12" xfId="0" applyFont="1" applyBorder="1" applyAlignment="1">
      <alignment horizontal="left"/>
    </xf>
    <xf numFmtId="0" fontId="14" fillId="0" borderId="0" xfId="0" applyFont="1" applyAlignment="1">
      <alignment horizontal="left"/>
    </xf>
    <xf numFmtId="0" fontId="14" fillId="0" borderId="13" xfId="0" applyFont="1" applyBorder="1" applyAlignment="1">
      <alignment horizontal="left"/>
    </xf>
    <xf numFmtId="0" fontId="9" fillId="0" borderId="12" xfId="0" applyFont="1" applyBorder="1" applyAlignment="1">
      <alignment horizontal="left" wrapText="1"/>
    </xf>
    <xf numFmtId="0" fontId="9" fillId="0" borderId="0" xfId="0" applyFont="1" applyAlignment="1">
      <alignment horizontal="left" wrapText="1"/>
    </xf>
    <xf numFmtId="0" fontId="9" fillId="0" borderId="13" xfId="0" applyFont="1" applyBorder="1" applyAlignment="1">
      <alignment horizontal="left" wrapText="1"/>
    </xf>
    <xf numFmtId="0" fontId="7" fillId="0" borderId="12" xfId="0" applyFont="1" applyBorder="1" applyAlignment="1">
      <alignment horizontal="left" wrapText="1"/>
    </xf>
    <xf numFmtId="0" fontId="7" fillId="0" borderId="0" xfId="0" applyFont="1" applyAlignment="1">
      <alignment horizontal="left" wrapText="1"/>
    </xf>
    <xf numFmtId="0" fontId="7" fillId="0" borderId="13" xfId="0" applyFont="1" applyBorder="1" applyAlignment="1">
      <alignment horizontal="left" wrapText="1"/>
    </xf>
    <xf numFmtId="0" fontId="15" fillId="0" borderId="14" xfId="0" applyFont="1" applyBorder="1" applyAlignment="1">
      <alignment horizontal="left" wrapText="1"/>
    </xf>
    <xf numFmtId="0" fontId="9" fillId="0" borderId="15" xfId="0" applyFont="1" applyBorder="1" applyAlignment="1">
      <alignment horizontal="left" wrapText="1"/>
    </xf>
    <xf numFmtId="0" fontId="9" fillId="0" borderId="16" xfId="0" applyFont="1" applyBorder="1" applyAlignment="1">
      <alignment horizontal="left" wrapText="1"/>
    </xf>
    <xf numFmtId="0" fontId="13" fillId="0" borderId="14" xfId="50" applyFont="1" applyBorder="1" applyAlignment="1">
      <alignment horizontal="left" vertical="center"/>
    </xf>
    <xf numFmtId="0" fontId="13" fillId="0" borderId="15" xfId="50" applyFont="1" applyBorder="1" applyAlignment="1">
      <alignment horizontal="left" vertical="center"/>
    </xf>
    <xf numFmtId="0" fontId="10" fillId="0" borderId="17" xfId="51" applyFont="1" applyBorder="1" applyAlignment="1">
      <alignment horizontal="left" vertical="center"/>
    </xf>
    <xf numFmtId="0" fontId="10" fillId="0" borderId="18" xfId="51" applyFont="1" applyBorder="1" applyAlignment="1">
      <alignment horizontal="left" vertical="center"/>
    </xf>
    <xf numFmtId="0" fontId="13" fillId="0" borderId="19" xfId="50" applyFont="1" applyBorder="1" applyAlignment="1">
      <alignment horizontal="left" vertical="center"/>
    </xf>
    <xf numFmtId="0" fontId="13" fillId="0" borderId="20" xfId="50" applyFont="1" applyBorder="1" applyAlignment="1">
      <alignment horizontal="left" vertical="center"/>
    </xf>
    <xf numFmtId="0" fontId="10" fillId="0" borderId="7" xfId="51" applyFont="1" applyBorder="1" applyAlignment="1">
      <alignment horizontal="left" vertical="center"/>
    </xf>
    <xf numFmtId="0" fontId="10" fillId="0" borderId="8" xfId="51" applyFont="1" applyBorder="1" applyAlignment="1">
      <alignment horizontal="left" vertical="center"/>
    </xf>
    <xf numFmtId="0" fontId="13" fillId="0" borderId="7" xfId="51" applyFont="1" applyBorder="1" applyAlignment="1">
      <alignment horizontal="left" vertical="center"/>
    </xf>
    <xf numFmtId="0" fontId="13" fillId="0" borderId="8" xfId="51" applyFont="1" applyBorder="1" applyAlignment="1">
      <alignment horizontal="left" vertical="center"/>
    </xf>
    <xf numFmtId="0" fontId="16" fillId="0" borderId="0" xfId="52"/>
    <xf numFmtId="0" fontId="10" fillId="0" borderId="7" xfId="51" applyFont="1" applyBorder="1" applyAlignment="1">
      <alignment horizontal="left"/>
    </xf>
    <xf numFmtId="0" fontId="10" fillId="0" borderId="8" xfId="51" applyFont="1" applyBorder="1" applyAlignment="1">
      <alignment horizontal="left"/>
    </xf>
    <xf numFmtId="0" fontId="8" fillId="0" borderId="0" xfId="50" applyFont="1" applyAlignment="1">
      <alignment horizontal="left" vertical="center"/>
    </xf>
    <xf numFmtId="0" fontId="17" fillId="0" borderId="12" xfId="50" applyFont="1" applyBorder="1" applyAlignment="1">
      <alignment vertical="center"/>
    </xf>
    <xf numFmtId="0" fontId="17" fillId="0" borderId="0" xfId="50" applyFont="1" applyAlignment="1">
      <alignment vertical="center"/>
    </xf>
    <xf numFmtId="0" fontId="18" fillId="5" borderId="21" xfId="51" applyFont="1" applyFill="1" applyBorder="1" applyAlignment="1">
      <alignment horizontal="left"/>
    </xf>
    <xf numFmtId="0" fontId="18" fillId="5" borderId="22" xfId="51" applyFont="1" applyFill="1" applyBorder="1" applyAlignment="1">
      <alignment horizontal="left"/>
    </xf>
    <xf numFmtId="0" fontId="8" fillId="0" borderId="12" xfId="50" applyFont="1" applyBorder="1" applyAlignment="1">
      <alignment horizontal="left" vertical="center"/>
    </xf>
    <xf numFmtId="0" fontId="8" fillId="0" borderId="23" xfId="50" applyFont="1" applyBorder="1" applyAlignment="1">
      <alignment horizontal="left" vertical="center"/>
    </xf>
    <xf numFmtId="0" fontId="10" fillId="0" borderId="7" xfId="0" applyFont="1" applyBorder="1" applyAlignment="1">
      <alignment horizontal="left"/>
    </xf>
    <xf numFmtId="0" fontId="10" fillId="0" borderId="7" xfId="0" applyFont="1" applyBorder="1" applyAlignment="1">
      <alignment horizontal="left" wrapText="1"/>
    </xf>
    <xf numFmtId="0" fontId="10" fillId="0" borderId="8" xfId="0" applyFont="1" applyBorder="1" applyAlignment="1">
      <alignment horizontal="left" wrapText="1"/>
    </xf>
    <xf numFmtId="0" fontId="7" fillId="0" borderId="7" xfId="0" applyFont="1" applyBorder="1" applyAlignment="1">
      <alignment horizontal="left" wrapText="1"/>
    </xf>
    <xf numFmtId="0" fontId="7" fillId="0" borderId="8" xfId="0" applyFont="1" applyBorder="1" applyAlignment="1">
      <alignment horizontal="left" wrapText="1"/>
    </xf>
    <xf numFmtId="0" fontId="7" fillId="0" borderId="7" xfId="0" applyFont="1" applyBorder="1" applyAlignment="1">
      <alignment horizontal="justify"/>
    </xf>
    <xf numFmtId="0" fontId="7" fillId="0" borderId="8" xfId="0" applyFont="1" applyBorder="1" applyAlignment="1">
      <alignment horizontal="justify"/>
    </xf>
    <xf numFmtId="0" fontId="7" fillId="0" borderId="24" xfId="0" applyFont="1" applyBorder="1" applyAlignment="1">
      <alignment horizontal="left"/>
    </xf>
    <xf numFmtId="0" fontId="7" fillId="0" borderId="20" xfId="0" applyFont="1" applyBorder="1" applyAlignment="1">
      <alignment horizontal="left"/>
    </xf>
    <xf numFmtId="0" fontId="7" fillId="0" borderId="25" xfId="0" applyFont="1" applyBorder="1" applyAlignment="1">
      <alignment horizontal="left"/>
    </xf>
    <xf numFmtId="0" fontId="7" fillId="0" borderId="7" xfId="0" applyFont="1" applyBorder="1" applyAlignment="1">
      <alignment horizontal="left"/>
    </xf>
    <xf numFmtId="0" fontId="7" fillId="0" borderId="8" xfId="0" applyFont="1" applyBorder="1" applyAlignment="1">
      <alignment horizontal="left"/>
    </xf>
    <xf numFmtId="0" fontId="18" fillId="0" borderId="7" xfId="0" applyFont="1" applyBorder="1" applyAlignment="1">
      <alignment horizontal="left" wrapText="1"/>
    </xf>
    <xf numFmtId="0" fontId="18" fillId="0" borderId="8" xfId="0" applyFont="1" applyBorder="1" applyAlignment="1">
      <alignment horizontal="left" wrapText="1"/>
    </xf>
    <xf numFmtId="0" fontId="9" fillId="0" borderId="7" xfId="0" applyFont="1" applyBorder="1"/>
    <xf numFmtId="0" fontId="13" fillId="0" borderId="7" xfId="0" applyFont="1" applyBorder="1" applyAlignment="1">
      <alignment horizontal="left" wrapText="1"/>
    </xf>
    <xf numFmtId="0" fontId="13" fillId="0" borderId="8" xfId="0" applyFont="1" applyBorder="1" applyAlignment="1">
      <alignment horizontal="left" wrapText="1"/>
    </xf>
    <xf numFmtId="0" fontId="10" fillId="0" borderId="21" xfId="51" applyFont="1" applyBorder="1" applyAlignment="1">
      <alignment horizontal="left"/>
    </xf>
    <xf numFmtId="0" fontId="10" fillId="0" borderId="22" xfId="51" applyFont="1" applyBorder="1" applyAlignment="1">
      <alignment horizontal="left"/>
    </xf>
    <xf numFmtId="0" fontId="19" fillId="0" borderId="26" xfId="0" applyFont="1" applyBorder="1" applyAlignment="1">
      <alignment horizontal="left" vertical="center" wrapText="1"/>
    </xf>
    <xf numFmtId="0" fontId="19" fillId="0" borderId="21" xfId="0" applyFont="1" applyBorder="1" applyAlignment="1">
      <alignment horizontal="left" vertical="center" wrapText="1"/>
    </xf>
    <xf numFmtId="0" fontId="19" fillId="0" borderId="22" xfId="0" applyFont="1" applyBorder="1" applyAlignment="1">
      <alignment horizontal="left" vertical="center" wrapText="1"/>
    </xf>
    <xf numFmtId="0" fontId="20" fillId="0" borderId="12" xfId="0" applyFont="1" applyBorder="1" applyAlignment="1">
      <alignment horizontal="left" vertical="center" wrapText="1"/>
    </xf>
    <xf numFmtId="0" fontId="20" fillId="0" borderId="0" xfId="0" applyFont="1" applyAlignment="1">
      <alignment horizontal="left" vertical="center" wrapText="1"/>
    </xf>
    <xf numFmtId="0" fontId="20" fillId="0" borderId="13" xfId="0" applyFont="1" applyBorder="1" applyAlignment="1">
      <alignment horizontal="left" vertical="center" wrapText="1"/>
    </xf>
    <xf numFmtId="0" fontId="21" fillId="0" borderId="14" xfId="0" applyFont="1" applyBorder="1" applyAlignment="1">
      <alignment horizontal="left" vertical="center" wrapText="1"/>
    </xf>
    <xf numFmtId="0" fontId="19" fillId="0" borderId="15" xfId="0" applyFont="1" applyBorder="1" applyAlignment="1">
      <alignment horizontal="left" vertical="center" wrapText="1"/>
    </xf>
    <xf numFmtId="0" fontId="19" fillId="0" borderId="16" xfId="0" applyFont="1" applyBorder="1" applyAlignment="1">
      <alignment horizontal="left" vertical="center" wrapText="1"/>
    </xf>
    <xf numFmtId="0" fontId="21" fillId="0" borderId="6" xfId="0" applyFont="1" applyBorder="1" applyAlignment="1">
      <alignment horizontal="left" vertical="center" wrapText="1"/>
    </xf>
    <xf numFmtId="0" fontId="21" fillId="0" borderId="7" xfId="0" applyFont="1" applyBorder="1" applyAlignment="1">
      <alignment horizontal="left" vertical="center" wrapText="1"/>
    </xf>
    <xf numFmtId="0" fontId="21" fillId="0" borderId="8" xfId="0" applyFont="1" applyBorder="1" applyAlignment="1">
      <alignment horizontal="left" vertical="center" wrapText="1"/>
    </xf>
    <xf numFmtId="0" fontId="20" fillId="0" borderId="6" xfId="0" applyFont="1" applyBorder="1" applyAlignment="1">
      <alignment horizontal="left" vertical="center" wrapText="1"/>
    </xf>
    <xf numFmtId="0" fontId="17" fillId="0" borderId="12" xfId="0" applyFont="1" applyBorder="1"/>
    <xf numFmtId="0" fontId="17" fillId="0" borderId="0" xfId="0" applyFont="1"/>
    <xf numFmtId="0" fontId="17" fillId="0" borderId="0" xfId="0" applyFont="1" applyAlignment="1">
      <alignment horizontal="left"/>
    </xf>
    <xf numFmtId="0" fontId="1" fillId="0" borderId="0" xfId="0" applyFont="1"/>
    <xf numFmtId="0" fontId="18" fillId="0" borderId="13" xfId="0" applyFont="1" applyBorder="1" applyAlignment="1">
      <alignment horizontal="center"/>
    </xf>
    <xf numFmtId="0" fontId="7" fillId="0" borderId="27" xfId="0" applyFont="1" applyBorder="1" applyAlignment="1">
      <alignment vertical="top" wrapText="1"/>
    </xf>
    <xf numFmtId="0" fontId="7" fillId="0" borderId="28" xfId="0" applyFont="1" applyBorder="1" applyAlignment="1">
      <alignment horizontal="left" vertical="top" wrapText="1"/>
    </xf>
    <xf numFmtId="0" fontId="7" fillId="0" borderId="29" xfId="0" applyFont="1" applyBorder="1" applyAlignment="1">
      <alignment horizontal="left" vertical="top" wrapText="1"/>
    </xf>
    <xf numFmtId="0" fontId="7" fillId="0" borderId="0" xfId="0" applyFont="1" applyAlignment="1">
      <alignment vertical="top" wrapText="1"/>
    </xf>
    <xf numFmtId="0" fontId="7" fillId="0" borderId="30" xfId="0" applyFont="1" applyBorder="1" applyAlignment="1">
      <alignment horizontal="left" vertical="top" wrapText="1"/>
    </xf>
    <xf numFmtId="0" fontId="7" fillId="0" borderId="31" xfId="0" applyFont="1" applyBorder="1" applyAlignment="1">
      <alignment horizontal="left" vertical="top" wrapText="1"/>
    </xf>
    <xf numFmtId="0" fontId="7" fillId="0" borderId="12" xfId="0" applyFont="1" applyBorder="1" applyAlignment="1">
      <alignment vertical="top" wrapText="1"/>
    </xf>
    <xf numFmtId="0" fontId="7" fillId="0" borderId="23" xfId="0" applyFont="1" applyBorder="1" applyAlignment="1">
      <alignment vertical="top" wrapText="1"/>
    </xf>
    <xf numFmtId="0" fontId="7" fillId="0" borderId="32" xfId="0" applyFont="1" applyBorder="1" applyAlignment="1">
      <alignment horizontal="left" vertical="top" wrapText="1"/>
    </xf>
    <xf numFmtId="0" fontId="7" fillId="0" borderId="0" xfId="0" applyFont="1" applyAlignment="1">
      <alignment horizontal="left" vertical="top" wrapText="1"/>
    </xf>
    <xf numFmtId="0" fontId="7" fillId="0" borderId="13" xfId="0" applyFont="1" applyBorder="1" applyAlignment="1">
      <alignment horizontal="left" vertical="top" wrapText="1"/>
    </xf>
    <xf numFmtId="0" fontId="7" fillId="0" borderId="33" xfId="0" applyFont="1" applyBorder="1" applyAlignment="1">
      <alignment horizontal="left" vertical="top" wrapText="1"/>
    </xf>
    <xf numFmtId="0" fontId="7" fillId="0" borderId="34" xfId="0" applyFont="1" applyBorder="1" applyAlignment="1">
      <alignment horizontal="left" vertical="top" wrapText="1"/>
    </xf>
    <xf numFmtId="0" fontId="7" fillId="0" borderId="35" xfId="0" applyFont="1" applyBorder="1" applyAlignment="1">
      <alignment horizontal="left" vertical="top" wrapText="1"/>
    </xf>
    <xf numFmtId="0" fontId="7" fillId="0" borderId="36" xfId="0" applyFont="1" applyBorder="1" applyAlignment="1">
      <alignment horizontal="left" vertical="top" wrapText="1"/>
    </xf>
    <xf numFmtId="0" fontId="7" fillId="0" borderId="37" xfId="0" applyFont="1" applyBorder="1" applyAlignment="1">
      <alignment horizontal="left" vertical="top" wrapText="1"/>
    </xf>
    <xf numFmtId="0" fontId="7" fillId="0" borderId="7" xfId="0" applyFont="1" applyBorder="1" applyAlignment="1" quotePrefix="1">
      <alignment horizontal="left"/>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xfId="50"/>
    <cellStyle name="Normal 2 3" xfId="51"/>
    <cellStyle name="Normal 3" xfId="52"/>
  </cellStyles>
  <tableStyles count="0" defaultTableStyle="TableStyleMedium2" defaultPivotStyle="PivotStyleLight16"/>
  <colors>
    <mruColors>
      <color rgb="00EEECE1"/>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476250</xdr:colOff>
      <xdr:row>82</xdr:row>
      <xdr:rowOff>74295</xdr:rowOff>
    </xdr:from>
    <xdr:to>
      <xdr:col>11</xdr:col>
      <xdr:colOff>628650</xdr:colOff>
      <xdr:row>91</xdr:row>
      <xdr:rowOff>14605</xdr:rowOff>
    </xdr:to>
    <xdr:pic>
      <xdr:nvPicPr>
        <xdr:cNvPr id="2" name="图片 1" descr="图片2"/>
        <xdr:cNvPicPr>
          <a:picLocks noChangeAspect="1"/>
        </xdr:cNvPicPr>
      </xdr:nvPicPr>
      <xdr:blipFill>
        <a:blip r:embed="rId1"/>
        <a:stretch>
          <a:fillRect/>
        </a:stretch>
      </xdr:blipFill>
      <xdr:spPr>
        <a:xfrm>
          <a:off x="6591300" y="29244925"/>
          <a:ext cx="3438525" cy="2645410"/>
        </a:xfrm>
        <a:prstGeom prst="rect">
          <a:avLst/>
        </a:prstGeom>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1"/>
  <sheetViews>
    <sheetView tabSelected="1" zoomScale="70" zoomScaleNormal="70" topLeftCell="A35" workbookViewId="0">
      <selection activeCell="B41" sqref="B41"/>
    </sheetView>
  </sheetViews>
  <sheetFormatPr defaultColWidth="9" defaultRowHeight="15.6"/>
  <cols>
    <col min="1" max="1" width="9.625" customWidth="1"/>
    <col min="2" max="2" width="15.5" customWidth="1"/>
    <col min="3" max="3" width="15.875" customWidth="1"/>
    <col min="4" max="4" width="15.5" customWidth="1"/>
    <col min="5" max="5" width="7.5" customWidth="1"/>
    <col min="6" max="8" width="8.125" customWidth="1"/>
    <col min="9" max="10" width="11.5" customWidth="1"/>
    <col min="11" max="11" width="12" style="7" customWidth="1"/>
    <col min="12" max="12" width="20.625" style="7" customWidth="1"/>
    <col min="13" max="13" width="11.875"/>
  </cols>
  <sheetData>
    <row r="1" ht="29.1" customHeight="1" spans="1:12">
      <c r="A1" s="8" t="s">
        <v>0</v>
      </c>
      <c r="B1" s="8"/>
      <c r="C1" s="8"/>
      <c r="D1" s="8"/>
      <c r="E1" s="8"/>
      <c r="F1" s="8"/>
      <c r="G1" s="8"/>
      <c r="H1" s="8"/>
      <c r="I1" s="8"/>
      <c r="J1" s="8"/>
      <c r="K1" s="8"/>
      <c r="L1" s="8"/>
    </row>
    <row r="2" ht="20.1" customHeight="1" spans="1:12">
      <c r="A2" s="9" t="s">
        <v>1</v>
      </c>
      <c r="B2" s="9"/>
      <c r="C2" s="9"/>
      <c r="D2" s="9"/>
      <c r="E2" s="9"/>
      <c r="F2" s="9"/>
      <c r="G2" s="9"/>
      <c r="H2" s="9"/>
      <c r="I2" s="9"/>
      <c r="J2" s="9"/>
      <c r="K2" s="9"/>
      <c r="L2" s="9"/>
    </row>
    <row r="3" s="1" customFormat="1" ht="16.15" customHeight="1" spans="1:12">
      <c r="A3" s="10"/>
      <c r="B3" s="10"/>
      <c r="C3" s="10"/>
      <c r="D3" s="10"/>
      <c r="E3" s="10"/>
      <c r="F3" s="10"/>
      <c r="G3" s="10"/>
      <c r="H3" s="10"/>
      <c r="I3" s="10"/>
      <c r="J3" s="10"/>
      <c r="K3" s="10"/>
      <c r="L3" s="10"/>
    </row>
    <row r="4" s="2" customFormat="1" ht="19.15" customHeight="1" spans="1:12">
      <c r="A4" s="11" t="s">
        <v>2</v>
      </c>
      <c r="B4" s="12"/>
      <c r="C4" s="12"/>
      <c r="D4" s="12"/>
      <c r="E4" s="12"/>
      <c r="F4" s="12"/>
      <c r="G4" s="12"/>
      <c r="H4" s="12"/>
      <c r="I4" s="12"/>
      <c r="J4" s="13"/>
      <c r="K4" s="14" t="s">
        <v>3</v>
      </c>
      <c r="L4" s="15" t="s">
        <v>4</v>
      </c>
    </row>
    <row r="5" s="2" customFormat="1" ht="79" customHeight="1" spans="1:12">
      <c r="A5" s="16" t="s">
        <v>5</v>
      </c>
      <c r="B5" s="17" t="s">
        <v>6</v>
      </c>
      <c r="C5" s="17"/>
      <c r="D5" s="17"/>
      <c r="E5" s="17"/>
      <c r="F5" s="17"/>
      <c r="G5" s="17"/>
      <c r="H5" s="17"/>
      <c r="I5" s="17"/>
      <c r="J5" s="17"/>
      <c r="K5" s="18" t="s">
        <v>7</v>
      </c>
      <c r="L5" s="19" t="s">
        <v>8</v>
      </c>
    </row>
    <row r="6" s="2" customFormat="1" ht="103" customHeight="1" spans="1:12">
      <c r="A6" s="20" t="s">
        <v>9</v>
      </c>
      <c r="B6" s="21"/>
      <c r="C6" s="21"/>
      <c r="D6" s="21"/>
      <c r="E6" s="21"/>
      <c r="F6" s="21"/>
      <c r="G6" s="21"/>
      <c r="H6" s="21"/>
      <c r="I6" s="21"/>
      <c r="J6" s="21"/>
      <c r="K6" s="18" t="s">
        <v>10</v>
      </c>
      <c r="L6" s="22" t="s">
        <v>11</v>
      </c>
    </row>
    <row r="7" s="3" customFormat="1" ht="22.9" customHeight="1" spans="1:12">
      <c r="A7" s="23" t="s">
        <v>12</v>
      </c>
      <c r="B7" s="24" t="s">
        <v>13</v>
      </c>
      <c r="C7" s="24" t="s">
        <v>14</v>
      </c>
      <c r="D7" s="24" t="s">
        <v>15</v>
      </c>
      <c r="E7" s="24" t="s">
        <v>16</v>
      </c>
      <c r="F7" s="24" t="s">
        <v>17</v>
      </c>
      <c r="G7" s="24"/>
      <c r="H7" s="24" t="s">
        <v>18</v>
      </c>
      <c r="I7" s="24" t="s">
        <v>19</v>
      </c>
      <c r="J7" s="24" t="s">
        <v>20</v>
      </c>
      <c r="K7" s="24" t="s">
        <v>21</v>
      </c>
      <c r="L7" s="25" t="s">
        <v>22</v>
      </c>
    </row>
    <row r="8" s="3" customFormat="1" ht="36" customHeight="1" spans="1:12">
      <c r="A8" s="23"/>
      <c r="B8" s="24"/>
      <c r="C8" s="24"/>
      <c r="D8" s="24"/>
      <c r="E8" s="24" t="s">
        <v>23</v>
      </c>
      <c r="F8" s="24" t="s">
        <v>24</v>
      </c>
      <c r="G8" s="26" t="s">
        <v>25</v>
      </c>
      <c r="H8" s="24" t="s">
        <v>26</v>
      </c>
      <c r="I8" s="26" t="s">
        <v>27</v>
      </c>
      <c r="J8" s="24" t="s">
        <v>28</v>
      </c>
      <c r="K8" s="24" t="s">
        <v>29</v>
      </c>
      <c r="L8" s="25"/>
    </row>
    <row r="9" s="4" customFormat="1" ht="35.1" customHeight="1" spans="1:12">
      <c r="A9" s="27" t="s">
        <v>30</v>
      </c>
      <c r="B9" s="28" t="s">
        <v>31</v>
      </c>
      <c r="C9" s="29">
        <v>6006320000</v>
      </c>
      <c r="D9" s="30" t="s">
        <v>32</v>
      </c>
      <c r="E9" s="31" t="s">
        <v>33</v>
      </c>
      <c r="F9" s="29" t="s">
        <v>34</v>
      </c>
      <c r="G9" s="29" t="s">
        <v>35</v>
      </c>
      <c r="H9" s="32">
        <v>575</v>
      </c>
      <c r="I9" s="33">
        <v>2.55</v>
      </c>
      <c r="J9" s="34">
        <v>0</v>
      </c>
      <c r="K9" s="35">
        <f>H9*I9+J9</f>
        <v>1466.25</v>
      </c>
      <c r="L9" s="36" t="s">
        <v>36</v>
      </c>
    </row>
    <row r="10" s="4" customFormat="1" ht="27" customHeight="1" spans="1:12">
      <c r="A10" s="27"/>
      <c r="B10" s="28"/>
      <c r="C10" s="29">
        <v>6006320000</v>
      </c>
      <c r="D10" s="30" t="s">
        <v>37</v>
      </c>
      <c r="E10" s="31" t="s">
        <v>33</v>
      </c>
      <c r="F10" s="29" t="s">
        <v>34</v>
      </c>
      <c r="G10" s="29" t="s">
        <v>35</v>
      </c>
      <c r="H10" s="32">
        <v>560</v>
      </c>
      <c r="I10" s="33">
        <v>2.55</v>
      </c>
      <c r="J10" s="34">
        <v>0</v>
      </c>
      <c r="K10" s="35">
        <f t="shared" ref="K10:K29" si="0">H10*I10+J10</f>
        <v>1428</v>
      </c>
      <c r="L10" s="36"/>
    </row>
    <row r="11" s="4" customFormat="1" ht="27" customHeight="1" spans="1:12">
      <c r="A11" s="27"/>
      <c r="B11" s="28"/>
      <c r="C11" s="29">
        <v>6006320000</v>
      </c>
      <c r="D11" s="30" t="s">
        <v>38</v>
      </c>
      <c r="E11" s="31" t="s">
        <v>33</v>
      </c>
      <c r="F11" s="29" t="s">
        <v>34</v>
      </c>
      <c r="G11" s="29" t="s">
        <v>35</v>
      </c>
      <c r="H11" s="32">
        <v>478</v>
      </c>
      <c r="I11" s="33">
        <v>2.55</v>
      </c>
      <c r="J11" s="34">
        <v>0</v>
      </c>
      <c r="K11" s="35">
        <f t="shared" si="0"/>
        <v>1218.9</v>
      </c>
      <c r="L11" s="36"/>
    </row>
    <row r="12" s="4" customFormat="1" ht="27" customHeight="1" spans="1:12">
      <c r="A12" s="27"/>
      <c r="B12" s="28"/>
      <c r="C12" s="29">
        <v>6006320000</v>
      </c>
      <c r="D12" s="30" t="s">
        <v>39</v>
      </c>
      <c r="E12" s="31" t="s">
        <v>33</v>
      </c>
      <c r="F12" s="29" t="s">
        <v>34</v>
      </c>
      <c r="G12" s="29" t="s">
        <v>35</v>
      </c>
      <c r="H12" s="32">
        <v>484</v>
      </c>
      <c r="I12" s="33">
        <v>2.55</v>
      </c>
      <c r="J12" s="34">
        <v>0</v>
      </c>
      <c r="K12" s="35">
        <f t="shared" si="0"/>
        <v>1234.2</v>
      </c>
      <c r="L12" s="36"/>
    </row>
    <row r="13" s="4" customFormat="1" ht="27" customHeight="1" spans="1:12">
      <c r="A13" s="27"/>
      <c r="B13" s="28"/>
      <c r="C13" s="29">
        <v>6006320000</v>
      </c>
      <c r="D13" s="30" t="s">
        <v>40</v>
      </c>
      <c r="E13" s="31" t="s">
        <v>33</v>
      </c>
      <c r="F13" s="29" t="s">
        <v>34</v>
      </c>
      <c r="G13" s="29" t="s">
        <v>35</v>
      </c>
      <c r="H13" s="32">
        <v>422</v>
      </c>
      <c r="I13" s="33">
        <v>2.55</v>
      </c>
      <c r="J13" s="34">
        <v>0</v>
      </c>
      <c r="K13" s="35">
        <f t="shared" si="0"/>
        <v>1076.1</v>
      </c>
      <c r="L13" s="36"/>
    </row>
    <row r="14" s="4" customFormat="1" ht="27" customHeight="1" spans="1:12">
      <c r="A14" s="27"/>
      <c r="B14" s="28"/>
      <c r="C14" s="29">
        <v>6006320000</v>
      </c>
      <c r="D14" s="30" t="s">
        <v>41</v>
      </c>
      <c r="E14" s="31" t="s">
        <v>33</v>
      </c>
      <c r="F14" s="29" t="s">
        <v>34</v>
      </c>
      <c r="G14" s="29" t="s">
        <v>35</v>
      </c>
      <c r="H14" s="32">
        <v>504</v>
      </c>
      <c r="I14" s="33">
        <v>2.55</v>
      </c>
      <c r="J14" s="34">
        <v>0</v>
      </c>
      <c r="K14" s="35">
        <f t="shared" si="0"/>
        <v>1285.2</v>
      </c>
      <c r="L14" s="36"/>
    </row>
    <row r="15" s="4" customFormat="1" ht="27" customHeight="1" spans="1:12">
      <c r="A15" s="27"/>
      <c r="B15" s="28"/>
      <c r="C15" s="29">
        <v>6006320000</v>
      </c>
      <c r="D15" s="30" t="s">
        <v>42</v>
      </c>
      <c r="E15" s="31" t="s">
        <v>33</v>
      </c>
      <c r="F15" s="29" t="s">
        <v>34</v>
      </c>
      <c r="G15" s="29" t="s">
        <v>35</v>
      </c>
      <c r="H15" s="32">
        <v>422</v>
      </c>
      <c r="I15" s="33">
        <v>2.55</v>
      </c>
      <c r="J15" s="34">
        <v>0</v>
      </c>
      <c r="K15" s="35">
        <f t="shared" si="0"/>
        <v>1076.1</v>
      </c>
      <c r="L15" s="36"/>
    </row>
    <row r="16" s="4" customFormat="1" ht="27" customHeight="1" spans="1:12">
      <c r="A16" s="27"/>
      <c r="B16" s="28"/>
      <c r="C16" s="29">
        <v>6006320000</v>
      </c>
      <c r="D16" s="30" t="s">
        <v>43</v>
      </c>
      <c r="E16" s="31" t="s">
        <v>33</v>
      </c>
      <c r="F16" s="29" t="s">
        <v>34</v>
      </c>
      <c r="G16" s="29" t="s">
        <v>35</v>
      </c>
      <c r="H16" s="32">
        <v>422</v>
      </c>
      <c r="I16" s="33">
        <v>2.55</v>
      </c>
      <c r="J16" s="34">
        <v>0</v>
      </c>
      <c r="K16" s="35">
        <f t="shared" si="0"/>
        <v>1076.1</v>
      </c>
      <c r="L16" s="36"/>
    </row>
    <row r="17" s="4" customFormat="1" ht="27" customHeight="1" spans="1:12">
      <c r="A17" s="27"/>
      <c r="B17" s="28"/>
      <c r="C17" s="29">
        <v>6006320000</v>
      </c>
      <c r="D17" s="30" t="s">
        <v>44</v>
      </c>
      <c r="E17" s="31" t="s">
        <v>33</v>
      </c>
      <c r="F17" s="29" t="s">
        <v>34</v>
      </c>
      <c r="G17" s="29" t="s">
        <v>35</v>
      </c>
      <c r="H17" s="28">
        <v>422</v>
      </c>
      <c r="I17" s="37">
        <v>2.55</v>
      </c>
      <c r="J17" s="34">
        <v>0</v>
      </c>
      <c r="K17" s="35">
        <f t="shared" si="0"/>
        <v>1076.1</v>
      </c>
      <c r="L17" s="36"/>
    </row>
    <row r="18" s="4" customFormat="1" ht="27" customHeight="1" spans="1:12">
      <c r="A18" s="27"/>
      <c r="B18" s="28"/>
      <c r="C18" s="29">
        <v>6006320000</v>
      </c>
      <c r="D18" s="30" t="s">
        <v>45</v>
      </c>
      <c r="E18" s="31" t="s">
        <v>33</v>
      </c>
      <c r="F18" s="29" t="s">
        <v>34</v>
      </c>
      <c r="G18" s="29" t="s">
        <v>35</v>
      </c>
      <c r="H18" s="28">
        <v>545</v>
      </c>
      <c r="I18" s="37">
        <v>2.55</v>
      </c>
      <c r="J18" s="34">
        <v>0</v>
      </c>
      <c r="K18" s="35">
        <f t="shared" si="0"/>
        <v>1389.75</v>
      </c>
      <c r="L18" s="36"/>
    </row>
    <row r="19" s="4" customFormat="1" ht="27" customHeight="1" spans="1:12">
      <c r="A19" s="27"/>
      <c r="B19" s="28"/>
      <c r="C19" s="29">
        <v>6006320000</v>
      </c>
      <c r="D19" s="38" t="s">
        <v>46</v>
      </c>
      <c r="E19" s="31" t="s">
        <v>33</v>
      </c>
      <c r="F19" s="29" t="s">
        <v>34</v>
      </c>
      <c r="G19" s="29" t="s">
        <v>35</v>
      </c>
      <c r="H19" s="28">
        <v>200</v>
      </c>
      <c r="I19" s="37">
        <v>2.55</v>
      </c>
      <c r="J19" s="39">
        <v>150</v>
      </c>
      <c r="K19" s="35">
        <f t="shared" si="0"/>
        <v>660</v>
      </c>
      <c r="L19" s="36"/>
    </row>
    <row r="20" s="4" customFormat="1" ht="27" customHeight="1" spans="1:12">
      <c r="A20" s="27"/>
      <c r="B20" s="28"/>
      <c r="C20" s="29">
        <v>6006320000</v>
      </c>
      <c r="D20" s="40" t="s">
        <v>47</v>
      </c>
      <c r="E20" s="31" t="s">
        <v>33</v>
      </c>
      <c r="F20" s="29" t="s">
        <v>34</v>
      </c>
      <c r="G20" s="29" t="s">
        <v>35</v>
      </c>
      <c r="H20" s="28">
        <v>300</v>
      </c>
      <c r="I20" s="37">
        <v>2.55</v>
      </c>
      <c r="J20" s="39">
        <v>150</v>
      </c>
      <c r="K20" s="35">
        <f t="shared" si="0"/>
        <v>915</v>
      </c>
      <c r="L20" s="36"/>
    </row>
    <row r="21" s="4" customFormat="1" ht="27" customHeight="1" spans="1:12">
      <c r="A21" s="27" t="s">
        <v>48</v>
      </c>
      <c r="B21" s="31" t="s">
        <v>49</v>
      </c>
      <c r="C21" s="29">
        <v>6006320000</v>
      </c>
      <c r="D21" s="40" t="s">
        <v>50</v>
      </c>
      <c r="E21" s="31" t="s">
        <v>51</v>
      </c>
      <c r="F21" s="29" t="s">
        <v>52</v>
      </c>
      <c r="G21" s="29" t="s">
        <v>53</v>
      </c>
      <c r="H21" s="41">
        <v>335</v>
      </c>
      <c r="I21" s="37">
        <v>2.95</v>
      </c>
      <c r="J21" s="42">
        <v>150</v>
      </c>
      <c r="K21" s="35">
        <f t="shared" si="0"/>
        <v>1138.25</v>
      </c>
      <c r="L21" s="36"/>
    </row>
    <row r="22" s="4" customFormat="1" ht="27" customHeight="1" spans="1:12">
      <c r="A22" s="27"/>
      <c r="B22" s="31"/>
      <c r="C22" s="29">
        <v>6006320000</v>
      </c>
      <c r="D22" s="40" t="s">
        <v>54</v>
      </c>
      <c r="E22" s="31" t="s">
        <v>51</v>
      </c>
      <c r="F22" s="29" t="s">
        <v>52</v>
      </c>
      <c r="G22" s="29" t="s">
        <v>53</v>
      </c>
      <c r="H22" s="41">
        <v>67</v>
      </c>
      <c r="I22" s="37">
        <v>2.95</v>
      </c>
      <c r="J22" s="42">
        <v>150</v>
      </c>
      <c r="K22" s="35">
        <f t="shared" si="0"/>
        <v>347.65</v>
      </c>
      <c r="L22" s="36"/>
    </row>
    <row r="23" s="4" customFormat="1" ht="27" customHeight="1" spans="1:12">
      <c r="A23" s="27"/>
      <c r="B23" s="31"/>
      <c r="C23" s="29">
        <v>6006320000</v>
      </c>
      <c r="D23" s="40" t="s">
        <v>43</v>
      </c>
      <c r="E23" s="31" t="s">
        <v>51</v>
      </c>
      <c r="F23" s="29" t="s">
        <v>52</v>
      </c>
      <c r="G23" s="29" t="s">
        <v>53</v>
      </c>
      <c r="H23" s="41">
        <v>241</v>
      </c>
      <c r="I23" s="37">
        <v>2.95</v>
      </c>
      <c r="J23" s="42">
        <v>150</v>
      </c>
      <c r="K23" s="35">
        <f t="shared" si="0"/>
        <v>860.95</v>
      </c>
      <c r="L23" s="36"/>
    </row>
    <row r="24" s="4" customFormat="1" ht="61" customHeight="1" spans="1:12">
      <c r="A24" s="43" t="s">
        <v>55</v>
      </c>
      <c r="B24" s="31" t="s">
        <v>56</v>
      </c>
      <c r="C24" s="29">
        <v>6006320000</v>
      </c>
      <c r="D24" s="31" t="s">
        <v>57</v>
      </c>
      <c r="E24" s="31">
        <v>150</v>
      </c>
      <c r="F24" s="44"/>
      <c r="G24" s="44"/>
      <c r="H24" s="41">
        <v>300</v>
      </c>
      <c r="I24" s="37">
        <v>2.85</v>
      </c>
      <c r="J24" s="42">
        <v>150</v>
      </c>
      <c r="K24" s="35">
        <f t="shared" si="0"/>
        <v>1005</v>
      </c>
      <c r="L24" s="36"/>
    </row>
    <row r="25" s="4" customFormat="1" ht="64" customHeight="1" spans="1:12">
      <c r="A25" s="43"/>
      <c r="B25" s="31" t="s">
        <v>58</v>
      </c>
      <c r="C25" s="29">
        <v>6006320000</v>
      </c>
      <c r="D25" s="31" t="s">
        <v>57</v>
      </c>
      <c r="E25" s="45">
        <v>400</v>
      </c>
      <c r="F25" s="29" t="s">
        <v>59</v>
      </c>
      <c r="G25" s="29" t="s">
        <v>60</v>
      </c>
      <c r="H25" s="46">
        <v>405</v>
      </c>
      <c r="I25" s="47">
        <v>0.38</v>
      </c>
      <c r="J25" s="42">
        <v>150</v>
      </c>
      <c r="K25" s="35">
        <f t="shared" si="0"/>
        <v>303.9</v>
      </c>
      <c r="L25" s="36"/>
    </row>
    <row r="26" s="4" customFormat="1" ht="64" customHeight="1" spans="1:12">
      <c r="A26" s="43"/>
      <c r="B26" s="31" t="s">
        <v>61</v>
      </c>
      <c r="C26" s="29">
        <v>6006320000</v>
      </c>
      <c r="D26" s="31" t="s">
        <v>57</v>
      </c>
      <c r="E26" s="45">
        <v>400</v>
      </c>
      <c r="F26" s="29" t="s">
        <v>59</v>
      </c>
      <c r="G26" s="29" t="s">
        <v>62</v>
      </c>
      <c r="H26" s="46">
        <v>231</v>
      </c>
      <c r="I26" s="47">
        <v>0.38</v>
      </c>
      <c r="J26" s="48">
        <v>150</v>
      </c>
      <c r="K26" s="35">
        <f t="shared" si="0"/>
        <v>237.78</v>
      </c>
      <c r="L26" s="36"/>
    </row>
    <row r="27" s="4" customFormat="1" ht="64" customHeight="1" spans="1:12">
      <c r="A27" s="43"/>
      <c r="B27" s="31" t="s">
        <v>63</v>
      </c>
      <c r="C27" s="29">
        <v>6006320000</v>
      </c>
      <c r="D27" s="31" t="s">
        <v>57</v>
      </c>
      <c r="E27" s="45">
        <v>400</v>
      </c>
      <c r="F27" s="29" t="s">
        <v>59</v>
      </c>
      <c r="G27" s="29" t="s">
        <v>64</v>
      </c>
      <c r="H27" s="46">
        <v>368</v>
      </c>
      <c r="I27" s="47">
        <v>0.38</v>
      </c>
      <c r="J27" s="48">
        <v>150</v>
      </c>
      <c r="K27" s="35">
        <f t="shared" si="0"/>
        <v>289.84</v>
      </c>
      <c r="L27" s="36"/>
    </row>
    <row r="28" s="4" customFormat="1" ht="61" customHeight="1" spans="1:12">
      <c r="A28" s="43" t="s">
        <v>65</v>
      </c>
      <c r="B28" s="31" t="s">
        <v>66</v>
      </c>
      <c r="C28" s="29">
        <v>6006320000</v>
      </c>
      <c r="D28" s="31" t="s">
        <v>67</v>
      </c>
      <c r="E28" s="31" t="s">
        <v>68</v>
      </c>
      <c r="F28" s="29" t="s">
        <v>34</v>
      </c>
      <c r="G28" s="29" t="s">
        <v>69</v>
      </c>
      <c r="H28" s="38">
        <v>380</v>
      </c>
      <c r="I28" s="33">
        <v>2.55</v>
      </c>
      <c r="J28" s="42">
        <v>150</v>
      </c>
      <c r="K28" s="35">
        <f t="shared" si="0"/>
        <v>1119</v>
      </c>
      <c r="L28" s="36"/>
    </row>
    <row r="29" s="4" customFormat="1" ht="27" customHeight="1" spans="1:12">
      <c r="A29" s="43" t="s">
        <v>70</v>
      </c>
      <c r="B29" s="31" t="s">
        <v>71</v>
      </c>
      <c r="C29" s="29">
        <v>6006320000</v>
      </c>
      <c r="D29" s="32" t="s">
        <v>32</v>
      </c>
      <c r="E29" s="31">
        <v>155</v>
      </c>
      <c r="F29" s="29" t="s">
        <v>72</v>
      </c>
      <c r="G29" s="29" t="s">
        <v>73</v>
      </c>
      <c r="H29" s="49">
        <v>480</v>
      </c>
      <c r="I29" s="33">
        <v>2.95</v>
      </c>
      <c r="J29" s="42">
        <v>0</v>
      </c>
      <c r="K29" s="35">
        <f t="shared" si="0"/>
        <v>1416</v>
      </c>
      <c r="L29" s="36"/>
    </row>
    <row r="30" s="4" customFormat="1" ht="27" customHeight="1" spans="1:12">
      <c r="A30" s="43"/>
      <c r="B30" s="31"/>
      <c r="C30" s="29">
        <v>6006320000</v>
      </c>
      <c r="D30" s="32" t="s">
        <v>37</v>
      </c>
      <c r="E30" s="31">
        <v>155</v>
      </c>
      <c r="F30" s="29" t="s">
        <v>72</v>
      </c>
      <c r="G30" s="29" t="s">
        <v>73</v>
      </c>
      <c r="H30" s="49">
        <v>784</v>
      </c>
      <c r="I30" s="33">
        <v>2.95</v>
      </c>
      <c r="J30" s="42">
        <v>0</v>
      </c>
      <c r="K30" s="35">
        <f t="shared" ref="K30:K35" si="1">H30*I30+J30</f>
        <v>2312.8</v>
      </c>
      <c r="L30" s="36"/>
    </row>
    <row r="31" s="4" customFormat="1" ht="27" customHeight="1" spans="1:12">
      <c r="A31" s="43"/>
      <c r="B31" s="31"/>
      <c r="C31" s="29">
        <v>6006320000</v>
      </c>
      <c r="D31" s="32" t="s">
        <v>38</v>
      </c>
      <c r="E31" s="31">
        <v>155</v>
      </c>
      <c r="F31" s="29" t="s">
        <v>72</v>
      </c>
      <c r="G31" s="29" t="s">
        <v>73</v>
      </c>
      <c r="H31" s="49">
        <v>748</v>
      </c>
      <c r="I31" s="33">
        <v>2.95</v>
      </c>
      <c r="J31" s="42">
        <v>0</v>
      </c>
      <c r="K31" s="35">
        <f t="shared" si="1"/>
        <v>2206.6</v>
      </c>
      <c r="L31" s="36"/>
    </row>
    <row r="32" s="4" customFormat="1" ht="27" customHeight="1" spans="1:12">
      <c r="A32" s="43"/>
      <c r="B32" s="31"/>
      <c r="C32" s="29">
        <v>6006320000</v>
      </c>
      <c r="D32" s="32" t="s">
        <v>39</v>
      </c>
      <c r="E32" s="31">
        <v>155</v>
      </c>
      <c r="F32" s="29" t="s">
        <v>72</v>
      </c>
      <c r="G32" s="29" t="s">
        <v>73</v>
      </c>
      <c r="H32" s="49">
        <v>350</v>
      </c>
      <c r="I32" s="33">
        <v>2.95</v>
      </c>
      <c r="J32" s="42">
        <v>150</v>
      </c>
      <c r="K32" s="35">
        <f t="shared" si="1"/>
        <v>1182.5</v>
      </c>
      <c r="L32" s="36"/>
    </row>
    <row r="33" s="4" customFormat="1" ht="27" customHeight="1" spans="1:12">
      <c r="A33" s="43"/>
      <c r="B33" s="31"/>
      <c r="C33" s="29">
        <v>6006320000</v>
      </c>
      <c r="D33" s="32" t="s">
        <v>74</v>
      </c>
      <c r="E33" s="31">
        <v>155</v>
      </c>
      <c r="F33" s="29" t="s">
        <v>72</v>
      </c>
      <c r="G33" s="29" t="s">
        <v>73</v>
      </c>
      <c r="H33" s="49">
        <v>350</v>
      </c>
      <c r="I33" s="33">
        <v>2.95</v>
      </c>
      <c r="J33" s="42">
        <v>150</v>
      </c>
      <c r="K33" s="35">
        <f t="shared" si="1"/>
        <v>1182.5</v>
      </c>
      <c r="L33" s="36"/>
    </row>
    <row r="34" s="4" customFormat="1" ht="27" customHeight="1" spans="1:12">
      <c r="A34" s="43"/>
      <c r="B34" s="31"/>
      <c r="C34" s="29">
        <v>6006320000</v>
      </c>
      <c r="D34" s="32" t="s">
        <v>75</v>
      </c>
      <c r="E34" s="31">
        <v>155</v>
      </c>
      <c r="F34" s="29" t="s">
        <v>72</v>
      </c>
      <c r="G34" s="29" t="s">
        <v>73</v>
      </c>
      <c r="H34" s="49">
        <v>250</v>
      </c>
      <c r="I34" s="33">
        <v>2.95</v>
      </c>
      <c r="J34" s="42">
        <v>150</v>
      </c>
      <c r="K34" s="35">
        <f t="shared" si="1"/>
        <v>887.5</v>
      </c>
      <c r="L34" s="36"/>
    </row>
    <row r="35" s="4" customFormat="1" ht="27" customHeight="1" spans="1:12">
      <c r="A35" s="43"/>
      <c r="B35" s="31"/>
      <c r="C35" s="29">
        <v>6006320000</v>
      </c>
      <c r="D35" s="32" t="s">
        <v>76</v>
      </c>
      <c r="E35" s="31">
        <v>155</v>
      </c>
      <c r="F35" s="29" t="s">
        <v>72</v>
      </c>
      <c r="G35" s="29" t="s">
        <v>73</v>
      </c>
      <c r="H35" s="49">
        <v>896</v>
      </c>
      <c r="I35" s="33">
        <v>2.95</v>
      </c>
      <c r="J35" s="42">
        <v>0</v>
      </c>
      <c r="K35" s="35">
        <f t="shared" si="1"/>
        <v>2643.2</v>
      </c>
      <c r="L35" s="36"/>
    </row>
    <row r="36" s="4" customFormat="1" ht="27" customHeight="1" spans="1:12">
      <c r="A36" s="27" t="s">
        <v>77</v>
      </c>
      <c r="B36" s="31" t="s">
        <v>71</v>
      </c>
      <c r="C36" s="29">
        <v>6006320000</v>
      </c>
      <c r="D36" s="32" t="s">
        <v>74</v>
      </c>
      <c r="E36" s="31">
        <v>180</v>
      </c>
      <c r="F36" s="29" t="s">
        <v>72</v>
      </c>
      <c r="G36" s="29" t="s">
        <v>73</v>
      </c>
      <c r="H36" s="32">
        <v>220</v>
      </c>
      <c r="I36" s="50">
        <v>2.55</v>
      </c>
      <c r="J36" s="51">
        <v>150</v>
      </c>
      <c r="K36" s="35">
        <f t="shared" ref="K36:K43" si="2">H36*I36+J36</f>
        <v>711</v>
      </c>
      <c r="L36" s="36"/>
    </row>
    <row r="37" s="4" customFormat="1" ht="27" customHeight="1" spans="1:12">
      <c r="A37" s="27"/>
      <c r="B37" s="31"/>
      <c r="C37" s="29">
        <v>6006320000</v>
      </c>
      <c r="D37" s="32" t="s">
        <v>37</v>
      </c>
      <c r="E37" s="31">
        <v>180</v>
      </c>
      <c r="F37" s="29" t="s">
        <v>72</v>
      </c>
      <c r="G37" s="29" t="s">
        <v>73</v>
      </c>
      <c r="H37" s="32">
        <v>450</v>
      </c>
      <c r="I37" s="50">
        <v>2.55</v>
      </c>
      <c r="J37" s="51">
        <v>0</v>
      </c>
      <c r="K37" s="35">
        <f t="shared" si="2"/>
        <v>1147.5</v>
      </c>
      <c r="L37" s="36"/>
    </row>
    <row r="38" s="4" customFormat="1" ht="27" customHeight="1" spans="1:12">
      <c r="A38" s="27"/>
      <c r="B38" s="31"/>
      <c r="C38" s="29">
        <v>6006320000</v>
      </c>
      <c r="D38" s="32" t="s">
        <v>39</v>
      </c>
      <c r="E38" s="31">
        <v>180</v>
      </c>
      <c r="F38" s="29" t="s">
        <v>72</v>
      </c>
      <c r="G38" s="29" t="s">
        <v>73</v>
      </c>
      <c r="H38" s="32">
        <v>405</v>
      </c>
      <c r="I38" s="50">
        <v>2.55</v>
      </c>
      <c r="J38" s="51">
        <v>0</v>
      </c>
      <c r="K38" s="35">
        <f t="shared" si="2"/>
        <v>1032.75</v>
      </c>
      <c r="L38" s="36"/>
    </row>
    <row r="39" s="4" customFormat="1" ht="40" customHeight="1" spans="1:12">
      <c r="A39" s="52" t="s">
        <v>78</v>
      </c>
      <c r="B39" s="31" t="s">
        <v>79</v>
      </c>
      <c r="C39" s="29">
        <v>6006320000</v>
      </c>
      <c r="D39" s="41" t="s">
        <v>80</v>
      </c>
      <c r="E39" s="31">
        <v>140</v>
      </c>
      <c r="F39" s="29" t="s">
        <v>35</v>
      </c>
      <c r="G39" s="29" t="s">
        <v>81</v>
      </c>
      <c r="H39" s="53">
        <v>288</v>
      </c>
      <c r="I39" s="33">
        <v>3.15</v>
      </c>
      <c r="J39" s="51">
        <v>150</v>
      </c>
      <c r="K39" s="35">
        <f t="shared" si="2"/>
        <v>1057.2</v>
      </c>
      <c r="L39" s="36"/>
    </row>
    <row r="40" s="4" customFormat="1" ht="40" customHeight="1" spans="1:12">
      <c r="A40" s="52"/>
      <c r="B40" s="31"/>
      <c r="C40" s="29">
        <v>6006320000</v>
      </c>
      <c r="D40" s="41" t="s">
        <v>74</v>
      </c>
      <c r="E40" s="31">
        <v>140</v>
      </c>
      <c r="F40" s="29" t="s">
        <v>35</v>
      </c>
      <c r="G40" s="29" t="s">
        <v>81</v>
      </c>
      <c r="H40" s="53">
        <v>162</v>
      </c>
      <c r="I40" s="33">
        <v>3.15</v>
      </c>
      <c r="J40" s="51">
        <v>150</v>
      </c>
      <c r="K40" s="35">
        <f t="shared" si="2"/>
        <v>660.3</v>
      </c>
      <c r="L40" s="36"/>
    </row>
    <row r="41" s="4" customFormat="1" ht="59" customHeight="1" spans="1:12">
      <c r="A41" s="52" t="s">
        <v>82</v>
      </c>
      <c r="B41" s="28" t="s">
        <v>83</v>
      </c>
      <c r="C41" s="31">
        <v>5407520000</v>
      </c>
      <c r="D41" s="54" t="s">
        <v>84</v>
      </c>
      <c r="E41" s="31">
        <v>115</v>
      </c>
      <c r="F41" s="29" t="s">
        <v>85</v>
      </c>
      <c r="G41" s="29" t="s">
        <v>86</v>
      </c>
      <c r="H41" s="41">
        <v>1400</v>
      </c>
      <c r="I41" s="55">
        <v>0.78</v>
      </c>
      <c r="J41" s="56">
        <v>150</v>
      </c>
      <c r="K41" s="35">
        <f t="shared" si="2"/>
        <v>1242</v>
      </c>
      <c r="L41" s="36"/>
    </row>
    <row r="42" s="5" customFormat="1" ht="59" customHeight="1" spans="1:12">
      <c r="A42" s="52"/>
      <c r="B42" s="32" t="s">
        <v>87</v>
      </c>
      <c r="C42" s="29">
        <v>6006320000</v>
      </c>
      <c r="D42" s="54" t="s">
        <v>88</v>
      </c>
      <c r="E42" s="31">
        <v>85</v>
      </c>
      <c r="F42" s="29" t="s">
        <v>89</v>
      </c>
      <c r="G42" s="29" t="s">
        <v>90</v>
      </c>
      <c r="H42" s="41">
        <v>200</v>
      </c>
      <c r="I42" s="57">
        <v>3.9</v>
      </c>
      <c r="J42" s="56">
        <v>150</v>
      </c>
      <c r="K42" s="35">
        <f t="shared" si="2"/>
        <v>930</v>
      </c>
      <c r="L42" s="36"/>
    </row>
    <row r="43" s="5" customFormat="1" ht="59" customHeight="1" spans="1:12">
      <c r="A43" s="52"/>
      <c r="B43" s="28" t="s">
        <v>91</v>
      </c>
      <c r="C43" s="28">
        <v>6117809000</v>
      </c>
      <c r="D43" s="54" t="s">
        <v>92</v>
      </c>
      <c r="E43" s="31" t="s">
        <v>93</v>
      </c>
      <c r="F43" s="29" t="s">
        <v>59</v>
      </c>
      <c r="G43" s="29" t="s">
        <v>94</v>
      </c>
      <c r="H43" s="41">
        <v>1800</v>
      </c>
      <c r="I43" s="58">
        <v>0.39</v>
      </c>
      <c r="J43" s="56">
        <v>150</v>
      </c>
      <c r="K43" s="35">
        <f t="shared" si="2"/>
        <v>852</v>
      </c>
      <c r="L43" s="36"/>
    </row>
    <row r="44" s="6" customFormat="1" ht="19.15" customHeight="1" spans="1:12">
      <c r="A44" s="59"/>
      <c r="B44" s="60"/>
      <c r="C44" s="60"/>
      <c r="D44" s="60"/>
      <c r="E44" s="60"/>
      <c r="F44" s="61" t="s">
        <v>95</v>
      </c>
      <c r="G44" s="62"/>
      <c r="H44" s="63">
        <f>SUM(H9:H24,H28:H35,H36:H38,H39:H40,H42)</f>
        <v>12240</v>
      </c>
      <c r="I44" s="61" t="s">
        <v>95</v>
      </c>
      <c r="J44" s="61"/>
      <c r="K44" s="64">
        <f>SUM(K9:K43)</f>
        <v>38667.92</v>
      </c>
      <c r="L44" s="36"/>
    </row>
    <row r="45" s="6" customFormat="1" ht="19.15" customHeight="1" spans="1:12">
      <c r="A45" s="59"/>
      <c r="B45" s="60"/>
      <c r="C45" s="60"/>
      <c r="D45" s="60"/>
      <c r="E45" s="60"/>
      <c r="F45" s="61"/>
      <c r="G45" s="62"/>
      <c r="H45" s="65">
        <v>1004</v>
      </c>
      <c r="I45" s="61"/>
      <c r="J45" s="61"/>
      <c r="K45" s="64"/>
      <c r="L45" s="36"/>
    </row>
    <row r="46" s="6" customFormat="1" ht="19.15" customHeight="1" spans="1:12">
      <c r="A46" s="59"/>
      <c r="B46" s="60"/>
      <c r="C46" s="60"/>
      <c r="D46" s="60"/>
      <c r="E46" s="60"/>
      <c r="F46" s="61"/>
      <c r="G46" s="62"/>
      <c r="H46" s="66">
        <v>3200</v>
      </c>
      <c r="I46" s="61"/>
      <c r="J46" s="61"/>
      <c r="K46" s="64"/>
      <c r="L46" s="36"/>
    </row>
    <row r="47" s="4" customFormat="1" ht="15" customHeight="1" spans="1:12">
      <c r="A47" s="67" t="s">
        <v>96</v>
      </c>
      <c r="B47" s="68"/>
      <c r="C47" s="68"/>
      <c r="D47" s="68"/>
      <c r="E47" s="68"/>
      <c r="F47" s="68"/>
      <c r="G47" s="68"/>
      <c r="H47" s="68"/>
      <c r="I47" s="68"/>
      <c r="J47" s="68"/>
      <c r="K47" s="68"/>
      <c r="L47" s="69"/>
    </row>
    <row r="48" s="4" customFormat="1" ht="15" customHeight="1" spans="1:12">
      <c r="A48" s="70"/>
      <c r="B48" s="71"/>
      <c r="C48" s="71"/>
      <c r="D48" s="71"/>
      <c r="E48" s="71"/>
      <c r="F48" s="71"/>
      <c r="G48" s="71"/>
      <c r="H48" s="71"/>
      <c r="I48" s="71"/>
      <c r="J48" s="71"/>
      <c r="K48" s="71"/>
      <c r="L48" s="72"/>
    </row>
    <row r="49" s="4" customFormat="1" ht="12.95" customHeight="1" spans="1:16">
      <c r="A49" s="73" t="s">
        <v>97</v>
      </c>
      <c r="B49" s="74"/>
      <c r="C49" s="74"/>
      <c r="D49" s="74"/>
      <c r="E49" s="74"/>
      <c r="F49" s="74"/>
      <c r="G49" s="74"/>
      <c r="H49" s="74"/>
      <c r="I49" s="74"/>
      <c r="J49" s="74"/>
      <c r="K49" s="74"/>
      <c r="L49" s="75"/>
    </row>
    <row r="50" s="3" customFormat="1" ht="13.8" spans="1:16">
      <c r="A50" s="76" t="s">
        <v>98</v>
      </c>
      <c r="B50" s="77"/>
      <c r="C50" s="77"/>
      <c r="D50" s="77"/>
      <c r="E50" s="77"/>
      <c r="F50" s="77"/>
      <c r="G50" s="77"/>
      <c r="H50" s="77"/>
      <c r="I50" s="77"/>
      <c r="J50" s="77"/>
      <c r="K50" s="77"/>
      <c r="L50" s="78"/>
    </row>
    <row r="51" s="3" customFormat="1" ht="13.8" spans="1:16">
      <c r="A51" s="76" t="s">
        <v>99</v>
      </c>
      <c r="B51" s="77"/>
      <c r="C51" s="77"/>
      <c r="D51" s="77"/>
      <c r="E51" s="77"/>
      <c r="F51" s="77"/>
      <c r="G51" s="77"/>
      <c r="H51" s="77"/>
      <c r="I51" s="77"/>
      <c r="J51" s="77"/>
      <c r="K51" s="77"/>
      <c r="L51" s="78"/>
    </row>
    <row r="52" s="3" customFormat="1" ht="13.8" spans="1:16">
      <c r="A52" s="76" t="s">
        <v>100</v>
      </c>
      <c r="B52" s="77"/>
      <c r="C52" s="77"/>
      <c r="D52" s="77"/>
      <c r="E52" s="77"/>
      <c r="F52" s="77"/>
      <c r="G52" s="77"/>
      <c r="H52" s="77"/>
      <c r="I52" s="77"/>
      <c r="J52" s="77"/>
      <c r="K52" s="77"/>
      <c r="L52" s="78"/>
    </row>
    <row r="53" s="3" customFormat="1" ht="13.8" spans="1:16">
      <c r="A53" s="79" t="s">
        <v>101</v>
      </c>
      <c r="B53" s="80"/>
      <c r="C53" s="80"/>
      <c r="D53" s="80"/>
      <c r="E53" s="80"/>
      <c r="F53" s="80"/>
      <c r="G53" s="80"/>
      <c r="H53" s="80"/>
      <c r="I53" s="80"/>
      <c r="J53" s="80"/>
      <c r="K53" s="80"/>
      <c r="L53" s="81"/>
    </row>
    <row r="54" s="4" customFormat="1" ht="14.1" customHeight="1" spans="1:16">
      <c r="A54" s="82" t="s">
        <v>102</v>
      </c>
      <c r="B54" s="83"/>
      <c r="C54" s="83"/>
      <c r="D54" s="84" t="s">
        <v>103</v>
      </c>
      <c r="E54" s="84"/>
      <c r="F54" s="84"/>
      <c r="G54" s="84"/>
      <c r="H54" s="84"/>
      <c r="I54" s="84"/>
      <c r="J54" s="84"/>
      <c r="K54" s="84"/>
      <c r="L54" s="85"/>
    </row>
    <row r="55" s="4" customFormat="1" ht="14.1" customHeight="1" spans="1:16">
      <c r="A55" s="86" t="s">
        <v>104</v>
      </c>
      <c r="B55" s="87"/>
      <c r="C55" s="87"/>
      <c r="D55" s="88" t="s">
        <v>105</v>
      </c>
      <c r="E55" s="88"/>
      <c r="F55" s="88"/>
      <c r="G55" s="88"/>
      <c r="H55" s="88"/>
      <c r="I55" s="88"/>
      <c r="J55" s="88"/>
      <c r="K55" s="88"/>
      <c r="L55" s="89"/>
    </row>
    <row r="56" s="4" customFormat="1" ht="14.1" customHeight="1" spans="1:16">
      <c r="A56" s="86" t="s">
        <v>106</v>
      </c>
      <c r="B56" s="87"/>
      <c r="C56" s="87"/>
      <c r="D56" s="88" t="s">
        <v>107</v>
      </c>
      <c r="E56" s="88"/>
      <c r="F56" s="88"/>
      <c r="G56" s="88"/>
      <c r="H56" s="88"/>
      <c r="I56" s="88"/>
      <c r="J56" s="88"/>
      <c r="K56" s="88"/>
      <c r="L56" s="89"/>
    </row>
    <row r="57" s="4" customFormat="1" ht="14.1" customHeight="1" spans="1:16">
      <c r="A57" s="86" t="s">
        <v>108</v>
      </c>
      <c r="B57" s="87"/>
      <c r="C57" s="87"/>
      <c r="D57" s="88" t="s">
        <v>109</v>
      </c>
      <c r="E57" s="88"/>
      <c r="F57" s="88"/>
      <c r="G57" s="88"/>
      <c r="H57" s="88"/>
      <c r="I57" s="88"/>
      <c r="J57" s="88"/>
      <c r="K57" s="88"/>
      <c r="L57" s="89"/>
    </row>
    <row r="58" s="4" customFormat="1" ht="14.1" customHeight="1" spans="1:16">
      <c r="A58" s="86" t="s">
        <v>110</v>
      </c>
      <c r="B58" s="87"/>
      <c r="C58" s="87"/>
      <c r="D58" s="90" t="s">
        <v>111</v>
      </c>
      <c r="E58" s="90"/>
      <c r="F58" s="90"/>
      <c r="G58" s="90"/>
      <c r="H58" s="90"/>
      <c r="I58" s="90"/>
      <c r="J58" s="90"/>
      <c r="K58" s="90"/>
      <c r="L58" s="91"/>
      <c r="M58" s="92"/>
    </row>
    <row r="59" s="4" customFormat="1" ht="14.1" customHeight="1" spans="1:16">
      <c r="A59" s="86" t="s">
        <v>112</v>
      </c>
      <c r="B59" s="87"/>
      <c r="C59" s="87"/>
      <c r="D59" s="88" t="s">
        <v>113</v>
      </c>
      <c r="E59" s="88"/>
      <c r="F59" s="88"/>
      <c r="G59" s="88"/>
      <c r="H59" s="88"/>
      <c r="I59" s="88"/>
      <c r="J59" s="88"/>
      <c r="K59" s="88"/>
      <c r="L59" s="89"/>
    </row>
    <row r="60" s="4" customFormat="1" ht="14.1" customHeight="1" spans="1:16">
      <c r="A60" s="86" t="s">
        <v>114</v>
      </c>
      <c r="B60" s="87"/>
      <c r="C60" s="87"/>
      <c r="D60" s="88" t="s">
        <v>115</v>
      </c>
      <c r="E60" s="88"/>
      <c r="F60" s="88"/>
      <c r="G60" s="88"/>
      <c r="H60" s="88"/>
      <c r="I60" s="88"/>
      <c r="J60" s="88"/>
      <c r="K60" s="88"/>
      <c r="L60" s="89"/>
    </row>
    <row r="61" s="4" customFormat="1" ht="14.1" customHeight="1" spans="1:16">
      <c r="A61" s="86" t="s">
        <v>116</v>
      </c>
      <c r="B61" s="87"/>
      <c r="C61" s="87"/>
      <c r="D61" s="93" t="s">
        <v>117</v>
      </c>
      <c r="E61" s="93"/>
      <c r="F61" s="93"/>
      <c r="G61" s="93"/>
      <c r="H61" s="93"/>
      <c r="I61" s="93"/>
      <c r="J61" s="93"/>
      <c r="K61" s="93"/>
      <c r="L61" s="94"/>
      <c r="P61" s="95"/>
    </row>
    <row r="62" s="4" customFormat="1" ht="14.1" customHeight="1" spans="1:16">
      <c r="A62" s="86" t="s">
        <v>118</v>
      </c>
      <c r="B62" s="87"/>
      <c r="C62" s="87"/>
      <c r="D62" s="93" t="s">
        <v>119</v>
      </c>
      <c r="E62" s="93"/>
      <c r="F62" s="93"/>
      <c r="G62" s="93"/>
      <c r="H62" s="93"/>
      <c r="I62" s="93"/>
      <c r="J62" s="93"/>
      <c r="K62" s="93"/>
      <c r="L62" s="94"/>
      <c r="P62" s="95"/>
    </row>
    <row r="63" s="4" customFormat="1" ht="14.1" customHeight="1" spans="1:16">
      <c r="A63" s="96"/>
      <c r="B63" s="97"/>
      <c r="C63" s="97"/>
      <c r="D63" s="98" t="s">
        <v>120</v>
      </c>
      <c r="E63" s="98"/>
      <c r="F63" s="98"/>
      <c r="G63" s="98"/>
      <c r="H63" s="98"/>
      <c r="I63" s="98"/>
      <c r="J63" s="98"/>
      <c r="K63" s="98"/>
      <c r="L63" s="99"/>
      <c r="P63" s="95"/>
    </row>
    <row r="64" s="4" customFormat="1" ht="15.95" customHeight="1" spans="1:16">
      <c r="A64" s="100" t="s">
        <v>121</v>
      </c>
      <c r="B64" s="95"/>
      <c r="C64" s="101"/>
      <c r="D64" s="102" t="s">
        <v>122</v>
      </c>
      <c r="E64" s="102"/>
      <c r="F64" s="103" t="s">
        <v>0</v>
      </c>
      <c r="G64" s="103"/>
      <c r="H64" s="103"/>
      <c r="I64" s="103"/>
      <c r="J64" s="103"/>
      <c r="K64" s="103"/>
      <c r="L64" s="104"/>
      <c r="O64" s="95"/>
    </row>
    <row r="65" s="4" customFormat="1" ht="15.95" customHeight="1" spans="1:15">
      <c r="A65" s="100"/>
      <c r="B65" s="95"/>
      <c r="C65" s="101"/>
      <c r="D65" s="102" t="s">
        <v>123</v>
      </c>
      <c r="E65" s="102"/>
      <c r="F65" s="105" t="s">
        <v>124</v>
      </c>
      <c r="G65" s="105"/>
      <c r="H65" s="105"/>
      <c r="I65" s="105"/>
      <c r="J65" s="105"/>
      <c r="K65" s="105"/>
      <c r="L65" s="106"/>
      <c r="O65" s="95"/>
    </row>
    <row r="66" s="4" customFormat="1" ht="15.95" customHeight="1" spans="1:15">
      <c r="A66" s="100"/>
      <c r="B66" s="95"/>
      <c r="C66" s="101"/>
      <c r="D66" s="103" t="s">
        <v>125</v>
      </c>
      <c r="E66" s="103"/>
      <c r="F66" s="105" t="s">
        <v>126</v>
      </c>
      <c r="G66" s="105"/>
      <c r="H66" s="105"/>
      <c r="I66" s="105"/>
      <c r="J66" s="105"/>
      <c r="K66" s="105"/>
      <c r="L66" s="106"/>
      <c r="O66" s="95"/>
    </row>
    <row r="67" s="4" customFormat="1" ht="15.95" customHeight="1" spans="1:15">
      <c r="A67" s="100"/>
      <c r="B67" s="95"/>
      <c r="C67" s="101"/>
      <c r="D67" s="102" t="s">
        <v>127</v>
      </c>
      <c r="E67" s="102"/>
      <c r="F67" s="107" t="s">
        <v>128</v>
      </c>
      <c r="G67" s="107"/>
      <c r="H67" s="107"/>
      <c r="I67" s="107"/>
      <c r="J67" s="107"/>
      <c r="K67" s="107"/>
      <c r="L67" s="108"/>
      <c r="O67" s="95"/>
    </row>
    <row r="68" s="4" customFormat="1" ht="15.95" customHeight="1" spans="1:15">
      <c r="A68" s="100"/>
      <c r="B68" s="95"/>
      <c r="C68" s="101"/>
      <c r="D68" s="102" t="s">
        <v>129</v>
      </c>
      <c r="E68" s="102"/>
      <c r="F68" s="107" t="s">
        <v>130</v>
      </c>
      <c r="G68" s="107"/>
      <c r="H68" s="107"/>
      <c r="I68" s="107"/>
      <c r="J68" s="107"/>
      <c r="K68" s="107"/>
      <c r="L68" s="108"/>
      <c r="O68" s="95"/>
    </row>
    <row r="69" s="4" customFormat="1" ht="15.95" customHeight="1" spans="1:15">
      <c r="A69" s="100"/>
      <c r="B69" s="95"/>
      <c r="C69" s="101"/>
      <c r="D69" s="102" t="s">
        <v>131</v>
      </c>
      <c r="E69" s="102"/>
      <c r="F69" s="109" t="s">
        <v>132</v>
      </c>
      <c r="G69" s="110"/>
      <c r="H69" s="110"/>
      <c r="I69" s="110"/>
      <c r="J69" s="110"/>
      <c r="K69" s="110"/>
      <c r="L69" s="111"/>
      <c r="O69" s="95"/>
    </row>
    <row r="70" s="4" customFormat="1" ht="15.95" customHeight="1" spans="1:15">
      <c r="A70" s="100"/>
      <c r="B70" s="95"/>
      <c r="C70" s="101"/>
      <c r="D70" s="103" t="s">
        <v>125</v>
      </c>
      <c r="E70" s="103"/>
      <c r="F70" s="109" t="s">
        <v>133</v>
      </c>
      <c r="G70" s="110"/>
      <c r="H70" s="110"/>
      <c r="I70" s="110"/>
      <c r="J70" s="110"/>
      <c r="K70" s="110"/>
      <c r="L70" s="111"/>
      <c r="O70" s="95"/>
    </row>
    <row r="71" s="4" customFormat="1" ht="15.95" customHeight="1" spans="1:15">
      <c r="A71" s="100"/>
      <c r="B71" s="95"/>
      <c r="C71" s="101"/>
      <c r="D71" s="102" t="s">
        <v>127</v>
      </c>
      <c r="E71" s="102"/>
      <c r="F71" s="109" t="s">
        <v>134</v>
      </c>
      <c r="G71" s="110"/>
      <c r="H71" s="110"/>
      <c r="I71" s="110"/>
      <c r="J71" s="110"/>
      <c r="K71" s="110"/>
      <c r="L71" s="111"/>
      <c r="O71" s="95"/>
    </row>
    <row r="72" s="4" customFormat="1" ht="15.95" customHeight="1" spans="1:15">
      <c r="A72" s="100"/>
      <c r="B72" s="95"/>
      <c r="C72" s="101"/>
      <c r="D72" s="102" t="s">
        <v>129</v>
      </c>
      <c r="E72" s="102"/>
      <c r="F72" s="109" t="s">
        <v>135</v>
      </c>
      <c r="G72" s="110"/>
      <c r="H72" s="110"/>
      <c r="I72" s="110"/>
      <c r="J72" s="110"/>
      <c r="K72" s="110"/>
      <c r="L72" s="111"/>
      <c r="O72" s="95"/>
    </row>
    <row r="73" s="4" customFormat="1" ht="15.95" customHeight="1" spans="1:15">
      <c r="A73" s="100"/>
      <c r="B73" s="95"/>
      <c r="C73" s="101"/>
      <c r="D73" s="102" t="s">
        <v>136</v>
      </c>
      <c r="E73" s="102"/>
      <c r="F73" s="155" t="s">
        <v>137</v>
      </c>
      <c r="G73" s="112"/>
      <c r="H73" s="112"/>
      <c r="I73" s="112"/>
      <c r="J73" s="112"/>
      <c r="K73" s="112"/>
      <c r="L73" s="113"/>
      <c r="O73" s="95"/>
    </row>
    <row r="74" s="4" customFormat="1" ht="15.95" customHeight="1" spans="1:15">
      <c r="A74" s="100"/>
      <c r="B74" s="95"/>
      <c r="C74" s="101"/>
      <c r="D74" s="102" t="s">
        <v>138</v>
      </c>
      <c r="E74" s="102"/>
      <c r="F74" s="114" t="s">
        <v>139</v>
      </c>
      <c r="G74" s="114"/>
      <c r="H74" s="114"/>
      <c r="I74" s="114"/>
      <c r="J74" s="114"/>
      <c r="K74" s="114"/>
      <c r="L74" s="115"/>
      <c r="O74" s="95"/>
    </row>
    <row r="75" s="4" customFormat="1" ht="14.1" customHeight="1" spans="1:15">
      <c r="A75" s="100"/>
      <c r="B75" s="95"/>
      <c r="C75" s="101"/>
      <c r="D75" s="116" t="s">
        <v>140</v>
      </c>
      <c r="E75" s="116"/>
      <c r="F75" s="117" t="s">
        <v>141</v>
      </c>
      <c r="G75" s="117"/>
      <c r="H75" s="117"/>
      <c r="I75" s="117"/>
      <c r="J75" s="117"/>
      <c r="K75" s="117"/>
      <c r="L75" s="118"/>
    </row>
    <row r="76" ht="18" customHeight="1" spans="1:15">
      <c r="A76" s="100"/>
      <c r="B76" s="95"/>
      <c r="C76" s="101"/>
      <c r="D76" s="119" t="s">
        <v>142</v>
      </c>
      <c r="E76" s="119"/>
      <c r="F76" s="119"/>
      <c r="G76" s="119"/>
      <c r="H76" s="119"/>
      <c r="I76" s="119"/>
      <c r="J76" s="119"/>
      <c r="K76" s="119"/>
      <c r="L76" s="120"/>
    </row>
    <row r="77" ht="13.15" customHeight="1" spans="1:15">
      <c r="A77" s="121" t="s">
        <v>143</v>
      </c>
      <c r="B77" s="122"/>
      <c r="C77" s="122"/>
      <c r="D77" s="122"/>
      <c r="E77" s="122"/>
      <c r="F77" s="122"/>
      <c r="G77" s="122"/>
      <c r="H77" s="122"/>
      <c r="I77" s="122"/>
      <c r="J77" s="122"/>
      <c r="K77" s="122"/>
      <c r="L77" s="123"/>
    </row>
    <row r="78" ht="29.1" customHeight="1" spans="1:15">
      <c r="A78" s="124" t="s">
        <v>144</v>
      </c>
      <c r="B78" s="125"/>
      <c r="C78" s="125"/>
      <c r="D78" s="125"/>
      <c r="E78" s="125"/>
      <c r="F78" s="125"/>
      <c r="G78" s="125"/>
      <c r="H78" s="125"/>
      <c r="I78" s="125"/>
      <c r="J78" s="125"/>
      <c r="K78" s="125"/>
      <c r="L78" s="126"/>
    </row>
    <row r="79" ht="27" customHeight="1" spans="1:15">
      <c r="A79" s="127" t="s">
        <v>145</v>
      </c>
      <c r="B79" s="128"/>
      <c r="C79" s="128"/>
      <c r="D79" s="128"/>
      <c r="E79" s="128"/>
      <c r="F79" s="128"/>
      <c r="G79" s="128"/>
      <c r="H79" s="128"/>
      <c r="I79" s="128"/>
      <c r="J79" s="128"/>
      <c r="K79" s="128"/>
      <c r="L79" s="129"/>
    </row>
    <row r="80" ht="69" customHeight="1" spans="1:15">
      <c r="A80" s="130" t="s">
        <v>146</v>
      </c>
      <c r="B80" s="131"/>
      <c r="C80" s="131"/>
      <c r="D80" s="131"/>
      <c r="E80" s="131"/>
      <c r="F80" s="131"/>
      <c r="G80" s="131"/>
      <c r="H80" s="131"/>
      <c r="I80" s="131"/>
      <c r="J80" s="131"/>
      <c r="K80" s="131"/>
      <c r="L80" s="132"/>
    </row>
    <row r="81" ht="48" customHeight="1" spans="1:12">
      <c r="A81" s="133" t="s">
        <v>147</v>
      </c>
      <c r="B81" s="131"/>
      <c r="C81" s="131"/>
      <c r="D81" s="131"/>
      <c r="E81" s="131"/>
      <c r="F81" s="131"/>
      <c r="G81" s="131"/>
      <c r="H81" s="131"/>
      <c r="I81" s="131"/>
      <c r="J81" s="131"/>
      <c r="K81" s="131"/>
      <c r="L81" s="132"/>
    </row>
    <row r="82" ht="27" customHeight="1" spans="1:12">
      <c r="A82" s="130" t="s">
        <v>148</v>
      </c>
      <c r="B82" s="131"/>
      <c r="C82" s="131"/>
      <c r="D82" s="131"/>
      <c r="E82" s="131"/>
      <c r="F82" s="131"/>
      <c r="G82" s="131"/>
      <c r="H82" s="131"/>
      <c r="I82" s="131"/>
      <c r="J82" s="131"/>
      <c r="K82" s="131"/>
      <c r="L82" s="132"/>
    </row>
    <row r="83" ht="39" customHeight="1" spans="1:12">
      <c r="A83" s="130" t="s">
        <v>149</v>
      </c>
      <c r="B83" s="131"/>
      <c r="C83" s="131"/>
      <c r="D83" s="131"/>
      <c r="E83" s="131"/>
      <c r="F83" s="131"/>
      <c r="G83" s="131"/>
      <c r="H83" s="131"/>
      <c r="I83" s="131"/>
      <c r="J83" s="131"/>
      <c r="K83" s="131"/>
      <c r="L83" s="132"/>
    </row>
    <row r="84" ht="39" customHeight="1" spans="1:12">
      <c r="A84" s="130" t="s">
        <v>150</v>
      </c>
      <c r="B84" s="131"/>
      <c r="C84" s="131"/>
      <c r="D84" s="131"/>
      <c r="E84" s="131"/>
      <c r="F84" s="131"/>
      <c r="G84" s="131"/>
      <c r="H84" s="131"/>
      <c r="I84" s="131"/>
      <c r="J84" s="131"/>
      <c r="K84" s="131"/>
      <c r="L84" s="132"/>
    </row>
    <row r="85" ht="16.15" customHeight="1" spans="1:12">
      <c r="A85" s="130" t="s">
        <v>151</v>
      </c>
      <c r="B85" s="131"/>
      <c r="C85" s="131"/>
      <c r="D85" s="131"/>
      <c r="E85" s="131"/>
      <c r="F85" s="131"/>
      <c r="G85" s="131"/>
      <c r="H85" s="131"/>
      <c r="I85" s="131"/>
      <c r="J85" s="131"/>
      <c r="K85" s="131"/>
      <c r="L85" s="132"/>
    </row>
    <row r="86" spans="1:12">
      <c r="A86" s="130" t="s">
        <v>152</v>
      </c>
      <c r="B86" s="131"/>
      <c r="C86" s="131"/>
      <c r="D86" s="131"/>
      <c r="E86" s="131"/>
      <c r="F86" s="131"/>
      <c r="G86" s="131"/>
      <c r="H86" s="131"/>
      <c r="I86" s="131"/>
      <c r="J86" s="131"/>
      <c r="K86" s="131"/>
      <c r="L86" s="132"/>
    </row>
    <row r="87" ht="28.15" customHeight="1" spans="1:12">
      <c r="A87" s="130" t="s">
        <v>153</v>
      </c>
      <c r="B87" s="131"/>
      <c r="C87" s="131"/>
      <c r="D87" s="131"/>
      <c r="E87" s="131"/>
      <c r="F87" s="131"/>
      <c r="G87" s="131"/>
      <c r="H87" s="131"/>
      <c r="I87" s="131"/>
      <c r="J87" s="131"/>
      <c r="K87" s="131"/>
      <c r="L87" s="132"/>
    </row>
    <row r="88" ht="13.15" customHeight="1" spans="1:12">
      <c r="A88" s="134" t="s">
        <v>154</v>
      </c>
      <c r="B88" s="135"/>
      <c r="C88" s="135"/>
      <c r="D88" s="135"/>
      <c r="E88" s="135"/>
      <c r="F88" s="135"/>
      <c r="G88" s="135"/>
      <c r="H88" s="135"/>
      <c r="I88" s="136" t="s">
        <v>155</v>
      </c>
      <c r="J88" s="136"/>
      <c r="K88" s="137"/>
      <c r="L88" s="138"/>
    </row>
    <row r="89" ht="30" customHeight="1" spans="1:12">
      <c r="A89" s="139" t="s">
        <v>156</v>
      </c>
      <c r="B89" s="140"/>
      <c r="C89" s="140"/>
      <c r="D89" s="141"/>
      <c r="E89" s="142"/>
      <c r="F89" s="142"/>
      <c r="G89" s="142"/>
      <c r="H89" s="142"/>
      <c r="I89" s="143" t="s">
        <v>157</v>
      </c>
      <c r="J89" s="140"/>
      <c r="K89" s="140"/>
      <c r="L89" s="144"/>
    </row>
    <row r="90" spans="1:12">
      <c r="A90" s="145"/>
      <c r="B90" s="142"/>
      <c r="C90" s="142"/>
      <c r="D90" s="146"/>
      <c r="E90" s="142"/>
      <c r="F90" s="142"/>
      <c r="G90" s="142"/>
      <c r="H90" s="142"/>
      <c r="I90" s="147"/>
      <c r="J90" s="148"/>
      <c r="K90" s="148"/>
      <c r="L90" s="149"/>
    </row>
    <row r="91" ht="16.35" spans="1:12">
      <c r="A91" s="150"/>
      <c r="B91" s="151"/>
      <c r="C91" s="151"/>
      <c r="D91" s="152"/>
      <c r="E91" s="151"/>
      <c r="F91" s="151"/>
      <c r="G91" s="151"/>
      <c r="H91" s="151"/>
      <c r="I91" s="153"/>
      <c r="J91" s="151"/>
      <c r="K91" s="151"/>
      <c r="L91" s="154"/>
    </row>
  </sheetData>
  <mergeCells count="95">
    <mergeCell ref="A1:L1"/>
    <mergeCell ref="A2:L2"/>
    <mergeCell ref="A3:L3"/>
    <mergeCell ref="A4:J4"/>
    <mergeCell ref="B5:J5"/>
    <mergeCell ref="A6:I6"/>
    <mergeCell ref="F7:G7"/>
    <mergeCell ref="A47:L47"/>
    <mergeCell ref="A49:L49"/>
    <mergeCell ref="A50:L50"/>
    <mergeCell ref="A51:L51"/>
    <mergeCell ref="A52:L52"/>
    <mergeCell ref="A53:L53"/>
    <mergeCell ref="A54:B54"/>
    <mergeCell ref="D54:L54"/>
    <mergeCell ref="A55:B55"/>
    <mergeCell ref="D55:L55"/>
    <mergeCell ref="A56:B56"/>
    <mergeCell ref="D56:L56"/>
    <mergeCell ref="A57:B57"/>
    <mergeCell ref="D57:L57"/>
    <mergeCell ref="A58:B58"/>
    <mergeCell ref="D58:L58"/>
    <mergeCell ref="A59:B59"/>
    <mergeCell ref="D59:L59"/>
    <mergeCell ref="A60:B60"/>
    <mergeCell ref="D60:L60"/>
    <mergeCell ref="A61:B61"/>
    <mergeCell ref="D61:L61"/>
    <mergeCell ref="A62:B62"/>
    <mergeCell ref="D62:L62"/>
    <mergeCell ref="D63:L63"/>
    <mergeCell ref="D64:E64"/>
    <mergeCell ref="F64:L64"/>
    <mergeCell ref="D65:E65"/>
    <mergeCell ref="F65:L65"/>
    <mergeCell ref="D66:E66"/>
    <mergeCell ref="F66:L66"/>
    <mergeCell ref="D67:E67"/>
    <mergeCell ref="F67:L67"/>
    <mergeCell ref="D68:E68"/>
    <mergeCell ref="F68:L68"/>
    <mergeCell ref="D69:E69"/>
    <mergeCell ref="F69:L69"/>
    <mergeCell ref="D70:E70"/>
    <mergeCell ref="F70:L70"/>
    <mergeCell ref="D71:E71"/>
    <mergeCell ref="F71:L71"/>
    <mergeCell ref="D72:E72"/>
    <mergeCell ref="F72:L72"/>
    <mergeCell ref="D73:E73"/>
    <mergeCell ref="F73:L73"/>
    <mergeCell ref="D74:E74"/>
    <mergeCell ref="F74:L74"/>
    <mergeCell ref="D75:E75"/>
    <mergeCell ref="F75:L75"/>
    <mergeCell ref="D76:L76"/>
    <mergeCell ref="A77:L77"/>
    <mergeCell ref="A78:L78"/>
    <mergeCell ref="A79:L79"/>
    <mergeCell ref="A80:L80"/>
    <mergeCell ref="A81:L81"/>
    <mergeCell ref="A82:L82"/>
    <mergeCell ref="A83:L83"/>
    <mergeCell ref="A84:L84"/>
    <mergeCell ref="A85:L85"/>
    <mergeCell ref="A86:L86"/>
    <mergeCell ref="A87:L87"/>
    <mergeCell ref="B89:D89"/>
    <mergeCell ref="A7:A8"/>
    <mergeCell ref="A9:A20"/>
    <mergeCell ref="A21:A23"/>
    <mergeCell ref="A24:A27"/>
    <mergeCell ref="A29:A35"/>
    <mergeCell ref="A36:A38"/>
    <mergeCell ref="A39:A40"/>
    <mergeCell ref="A41:A43"/>
    <mergeCell ref="B7:B8"/>
    <mergeCell ref="B9:B20"/>
    <mergeCell ref="B21:B23"/>
    <mergeCell ref="B29:B35"/>
    <mergeCell ref="B36:B38"/>
    <mergeCell ref="B39:B40"/>
    <mergeCell ref="C7:C8"/>
    <mergeCell ref="D7:D8"/>
    <mergeCell ref="F44:F46"/>
    <mergeCell ref="G44:G46"/>
    <mergeCell ref="I44:I46"/>
    <mergeCell ref="J44:J46"/>
    <mergeCell ref="K44:K46"/>
    <mergeCell ref="L7:L8"/>
    <mergeCell ref="L9:L46"/>
    <mergeCell ref="A64:C76"/>
    <mergeCell ref="I89:L91"/>
    <mergeCell ref="A44:E46"/>
  </mergeCells>
  <pageMargins left="0.196527777777778" right="0.196527777777778" top="0.196527777777778" bottom="0.156944444444444" header="0.118055555555556" footer="0.118055555555556"/>
  <pageSetup paperSize="9" scale="67"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Company>unknown</Company>
  <Application>Microsoft Excel</Application>
  <HeadingPairs>
    <vt:vector size="2" baseType="variant">
      <vt:variant>
        <vt:lpstr>工作表</vt:lpstr>
      </vt:variant>
      <vt:variant>
        <vt:i4>1</vt:i4>
      </vt:variant>
    </vt:vector>
  </HeadingPairs>
  <TitlesOfParts>
    <vt:vector size="1" baseType="lpstr">
      <vt:lpstr>SC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有未</cp:lastModifiedBy>
  <cp:revision>1</cp:revision>
  <dcterms:created xsi:type="dcterms:W3CDTF">2003-10-21T09:52:00Z</dcterms:created>
  <cp:lastPrinted>2025-11-26T05:29:00Z</cp:lastPrinted>
  <dcterms:modified xsi:type="dcterms:W3CDTF">2026-03-14T06:22:02Z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467D20B679F244C283CAF2F63A5231DF_13</vt:lpwstr>
  </property>
  <property fmtid="{D5CDD505-2E9C-101B-9397-08002B2CF9AE}" pid="4" name="CalculationRule">
    <vt:i4>0</vt:i4>
  </property>
</Properties>
</file>